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ress Teck Solutions\Documents\DATA ANALYTICS FOR MICROBIOLOGIST AND OTHER HEALTH PERSONNELS 1.0\TVET_Programme_Impact_Assessment_Project\02_Cleaned_Data\"/>
    </mc:Choice>
  </mc:AlternateContent>
  <xr:revisionPtr revIDLastSave="0" documentId="13_ncr:1_{7653A276-1296-4A62-B3D9-0112ECE0CE9E}" xr6:coauthVersionLast="47" xr6:coauthVersionMax="47" xr10:uidLastSave="{00000000-0000-0000-0000-000000000000}"/>
  <bookViews>
    <workbookView xWindow="-100" yWindow="-100" windowWidth="21467" windowHeight="12163" firstSheet="3" activeTab="6" xr2:uid="{00000000-000D-0000-FFFF-FFFF00000000}"/>
  </bookViews>
  <sheets>
    <sheet name="01_Cleaned_Data" sheetId="1" r:id="rId1"/>
    <sheet name="02_Data_Dictionary" sheetId="2" r:id="rId2"/>
    <sheet name="03_Data_Quality_Report" sheetId="3" r:id="rId3"/>
    <sheet name="04_Descriptive_Statistics" sheetId="4" r:id="rId4"/>
    <sheet name="05_Frequency_Tables" sheetId="5" r:id="rId5"/>
    <sheet name="06_Pivot_Tables" sheetId="6" r:id="rId6"/>
    <sheet name="07_Excel_Dashboard" sheetId="10" r:id="rId7"/>
  </sheets>
  <definedNames>
    <definedName name="Slicer_Gender">#N/A</definedName>
    <definedName name="Slicer_State">#N/A</definedName>
    <definedName name="Slicer_Trade_Complete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6" i="5" l="1"/>
  <c r="C35" i="5" s="1"/>
  <c r="C27" i="5"/>
  <c r="C28" i="5"/>
  <c r="C29" i="5"/>
  <c r="C26" i="5"/>
  <c r="B22" i="5"/>
  <c r="C21" i="5" s="1"/>
  <c r="C15" i="5"/>
  <c r="C14" i="5"/>
  <c r="C4" i="5"/>
  <c r="C3" i="5"/>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8" i="1"/>
  <c r="D9" i="1"/>
  <c r="D10" i="1"/>
  <c r="D11" i="1"/>
  <c r="D12" i="1"/>
  <c r="D7" i="1"/>
  <c r="C30" i="5" l="1"/>
  <c r="C34" i="5"/>
  <c r="C36" i="5" s="1"/>
  <c r="C5" i="5"/>
  <c r="C20" i="5"/>
  <c r="C22" i="5" s="1"/>
  <c r="C16" i="5"/>
</calcChain>
</file>

<file path=xl/sharedStrings.xml><?xml version="1.0" encoding="utf-8"?>
<sst xmlns="http://schemas.openxmlformats.org/spreadsheetml/2006/main" count="2406" uniqueCount="313">
  <si>
    <t>Kano-20260725-</t>
  </si>
  <si>
    <t>yes</t>
  </si>
  <si>
    <t>male</t>
  </si>
  <si>
    <t>Kano</t>
  </si>
  <si>
    <t>Kano_Albasu</t>
  </si>
  <si>
    <t>tertiary</t>
  </si>
  <si>
    <t>self_employed</t>
  </si>
  <si>
    <t>ict</t>
  </si>
  <si>
    <t>12_months</t>
  </si>
  <si>
    <t>moderate</t>
  </si>
  <si>
    <t>good</t>
  </si>
  <si>
    <t>excellent</t>
  </si>
  <si>
    <t>Kano-20260101-</t>
  </si>
  <si>
    <t>secondary</t>
  </si>
  <si>
    <t>carpentry</t>
  </si>
  <si>
    <t>significant</t>
  </si>
  <si>
    <t>Kano-20260103-</t>
  </si>
  <si>
    <t>female</t>
  </si>
  <si>
    <t>tailoring</t>
  </si>
  <si>
    <t>6_months</t>
  </si>
  <si>
    <t>Kano-20260108-</t>
  </si>
  <si>
    <t>plumbing</t>
  </si>
  <si>
    <t>employed</t>
  </si>
  <si>
    <t>Interview Date</t>
  </si>
  <si>
    <t>Respondent ID</t>
  </si>
  <si>
    <t>Kano-20260109-</t>
  </si>
  <si>
    <t>Kano-20260110-</t>
  </si>
  <si>
    <t>Kano-20260111-</t>
  </si>
  <si>
    <t>Kano-20260112-</t>
  </si>
  <si>
    <t>Kano-20260113-</t>
  </si>
  <si>
    <t>Kano-20260114-</t>
  </si>
  <si>
    <t>Kano-20260115-</t>
  </si>
  <si>
    <t>Kano-20260116-</t>
  </si>
  <si>
    <t>Kano-20260117</t>
  </si>
  <si>
    <t>Kano-20260118-</t>
  </si>
  <si>
    <t>Kano-20260119-</t>
  </si>
  <si>
    <t>Kano-20260120-</t>
  </si>
  <si>
    <t>Kano-20260121`-</t>
  </si>
  <si>
    <t>Kano-20260122-</t>
  </si>
  <si>
    <t>Kano-20260123-</t>
  </si>
  <si>
    <t>Kano-20260124-</t>
  </si>
  <si>
    <t>Kano-20260125-</t>
  </si>
  <si>
    <t>Kano-20260126-</t>
  </si>
  <si>
    <t>Kano-20260127-</t>
  </si>
  <si>
    <t>Kano-20260128-</t>
  </si>
  <si>
    <t>Kano-20260129-</t>
  </si>
  <si>
    <t>Kano-20260130-</t>
  </si>
  <si>
    <t>Kano-20260131-</t>
  </si>
  <si>
    <t>Kano-20260132-</t>
  </si>
  <si>
    <t>Kano-20260133-</t>
  </si>
  <si>
    <t>Kano-20260134-</t>
  </si>
  <si>
    <t>Kano-20260135-</t>
  </si>
  <si>
    <t>Kano-20260136-</t>
  </si>
  <si>
    <t>Kano-20260137-</t>
  </si>
  <si>
    <t>Kano-20260138-</t>
  </si>
  <si>
    <t>Kano-20260139-</t>
  </si>
  <si>
    <t>Kano-20260140-</t>
  </si>
  <si>
    <t>Kano-20260141-</t>
  </si>
  <si>
    <t>Kano-20260142-</t>
  </si>
  <si>
    <t>Kano-20260143-</t>
  </si>
  <si>
    <t>Kano-20260144-</t>
  </si>
  <si>
    <t>Kano-20260145-</t>
  </si>
  <si>
    <t>Kano-20260146-</t>
  </si>
  <si>
    <t>Kano-20260147-</t>
  </si>
  <si>
    <t>Kano-20260148-</t>
  </si>
  <si>
    <t>Kano-20260149-</t>
  </si>
  <si>
    <t>Kano-20260150-</t>
  </si>
  <si>
    <t>Kano-20260151-</t>
  </si>
  <si>
    <t>Kano-20260152-</t>
  </si>
  <si>
    <t>Kano-20260153-</t>
  </si>
  <si>
    <t>Kano-20260154-</t>
  </si>
  <si>
    <t>Kano-20260155-</t>
  </si>
  <si>
    <t>Kano-20260156-</t>
  </si>
  <si>
    <t>Kano-20260157-</t>
  </si>
  <si>
    <t>Kano-20260158-</t>
  </si>
  <si>
    <t>Consent</t>
  </si>
  <si>
    <t>Gender</t>
  </si>
  <si>
    <t>State</t>
  </si>
  <si>
    <t>Lga</t>
  </si>
  <si>
    <t>Occupation Before</t>
  </si>
  <si>
    <t>Education Level</t>
  </si>
  <si>
    <t>Occupation After</t>
  </si>
  <si>
    <t>Training Centre</t>
  </si>
  <si>
    <t>Trade Completed</t>
  </si>
  <si>
    <t>Training Duration</t>
  </si>
  <si>
    <t>Source of Awareness</t>
  </si>
  <si>
    <t>Reason for Enrolment</t>
  </si>
  <si>
    <t>Admission Transparency</t>
  </si>
  <si>
    <t>Communication of Eligibility</t>
  </si>
  <si>
    <t>Training Accessibility</t>
  </si>
  <si>
    <t>Instructor Knowledge</t>
  </si>
  <si>
    <t>Practical Sessions</t>
  </si>
  <si>
    <t>Learning Materials</t>
  </si>
  <si>
    <t>Training Facilities</t>
  </si>
  <si>
    <t>Equipment Availability</t>
  </si>
  <si>
    <t>Attendance Monitoring</t>
  </si>
  <si>
    <t>Technical Competence</t>
  </si>
  <si>
    <t>Practical Experience</t>
  </si>
  <si>
    <t>Skill Confidence</t>
  </si>
  <si>
    <t>Digital Literacy</t>
  </si>
  <si>
    <t>Communication Teamwork</t>
  </si>
  <si>
    <t>Employment Status</t>
  </si>
  <si>
    <t>Job Related to Training</t>
  </si>
  <si>
    <t>Income Improvement</t>
  </si>
  <si>
    <t>Employment Duration</t>
  </si>
  <si>
    <t>Employability Rating</t>
  </si>
  <si>
    <t>Overall Satisfaction</t>
  </si>
  <si>
    <t>Recommend Programme</t>
  </si>
  <si>
    <t>Programme met Expectations</t>
  </si>
  <si>
    <t>Future Participation</t>
  </si>
  <si>
    <t>Major Challenge</t>
  </si>
  <si>
    <t>Improvement  Area</t>
  </si>
  <si>
    <t>Additional Comments</t>
  </si>
  <si>
    <t>Age</t>
  </si>
  <si>
    <t>Variable Name</t>
  </si>
  <si>
    <t>Invalid Responses:</t>
  </si>
  <si>
    <t>Data Ready for Analysis:</t>
  </si>
  <si>
    <t>YES</t>
  </si>
  <si>
    <t xml:space="preserve">Dataset Name: </t>
  </si>
  <si>
    <t>National TVET Programme Impact Assessment Survey</t>
  </si>
  <si>
    <t xml:space="preserve">Total Variables: </t>
  </si>
  <si>
    <t xml:space="preserve">Missing Values:  </t>
  </si>
  <si>
    <t>none</t>
  </si>
  <si>
    <t xml:space="preserve">Duplicate Records: </t>
  </si>
  <si>
    <t xml:space="preserve">Blank Rows: </t>
  </si>
  <si>
    <t xml:space="preserve">Total Records: </t>
  </si>
  <si>
    <t>Minimun</t>
  </si>
  <si>
    <t>Maximum</t>
  </si>
  <si>
    <t>Median</t>
  </si>
  <si>
    <t>Descriptive Statistics</t>
  </si>
  <si>
    <t>Count</t>
  </si>
  <si>
    <t>Mean</t>
  </si>
  <si>
    <t>Mode</t>
  </si>
  <si>
    <t>Std. Dev.</t>
  </si>
  <si>
    <t>Frequency</t>
  </si>
  <si>
    <t>Percentage</t>
  </si>
  <si>
    <t>Prequency-001</t>
  </si>
  <si>
    <t>Male</t>
  </si>
  <si>
    <t>Female</t>
  </si>
  <si>
    <t>Total</t>
  </si>
  <si>
    <t>Prequency-002</t>
  </si>
  <si>
    <t>Prequency-003</t>
  </si>
  <si>
    <t>Education level</t>
  </si>
  <si>
    <t>Prequency-004</t>
  </si>
  <si>
    <t>Prequency-005</t>
  </si>
  <si>
    <t>Prequency-006</t>
  </si>
  <si>
    <t>Prequency-007</t>
  </si>
  <si>
    <t>Prequency-008</t>
  </si>
  <si>
    <t>Row Labels</t>
  </si>
  <si>
    <t>Grand Total</t>
  </si>
  <si>
    <t>Secondary</t>
  </si>
  <si>
    <t>Tertiary</t>
  </si>
  <si>
    <t>Employed</t>
  </si>
  <si>
    <t>Self_Employed</t>
  </si>
  <si>
    <t>Yes</t>
  </si>
  <si>
    <t>Column Labels</t>
  </si>
  <si>
    <t>Count of Respondent ID</t>
  </si>
  <si>
    <t>PT-001: Gender by Employment Status</t>
  </si>
  <si>
    <t>PT-002: Education Level by Employment Status</t>
  </si>
  <si>
    <t>PT-004: Trade Completed by Income Improvement</t>
  </si>
  <si>
    <t>PT-003: Trade Completed by Employment Status</t>
  </si>
  <si>
    <t>PT-007: State by Trade Completed</t>
  </si>
  <si>
    <t>PT-006: Overall Satisfaction by Future Participation</t>
  </si>
  <si>
    <t>PT-005: Overall Satisfaction by Recommend Programme</t>
  </si>
  <si>
    <t xml:space="preserve">None </t>
  </si>
  <si>
    <t>Unemployed</t>
  </si>
  <si>
    <t>Farmer</t>
  </si>
  <si>
    <t>Student</t>
  </si>
  <si>
    <t>Carpentry</t>
  </si>
  <si>
    <t>Tailoring</t>
  </si>
  <si>
    <t>Plumbing</t>
  </si>
  <si>
    <t>ICT</t>
  </si>
  <si>
    <t>Social_Media</t>
  </si>
  <si>
    <t>Other</t>
  </si>
  <si>
    <t>Community</t>
  </si>
  <si>
    <t>Skills</t>
  </si>
  <si>
    <t>Employment</t>
  </si>
  <si>
    <t>Income</t>
  </si>
  <si>
    <t>High</t>
  </si>
  <si>
    <t>Medium</t>
  </si>
  <si>
    <t>Partial</t>
  </si>
  <si>
    <t>Moderate</t>
  </si>
  <si>
    <t>Good</t>
  </si>
  <si>
    <t>Average</t>
  </si>
  <si>
    <t>Excellent</t>
  </si>
  <si>
    <t>12</t>
  </si>
  <si>
    <t>Neutral</t>
  </si>
  <si>
    <t>Funding</t>
  </si>
  <si>
    <t>Materials</t>
  </si>
  <si>
    <t xml:space="preserve">Providing More Equipment </t>
  </si>
  <si>
    <t>Poor</t>
  </si>
  <si>
    <t>Significant</t>
  </si>
  <si>
    <t>Equipment</t>
  </si>
  <si>
    <t>Support</t>
  </si>
  <si>
    <t xml:space="preserve">Provide More Support </t>
  </si>
  <si>
    <t>Agree</t>
  </si>
  <si>
    <t xml:space="preserve">Provide More Materials </t>
  </si>
  <si>
    <t xml:space="preserve"> Respondent_ID                </t>
  </si>
  <si>
    <t xml:space="preserve"> Unique identification number assigned to each respondent      </t>
  </si>
  <si>
    <t xml:space="preserve"> Text         </t>
  </si>
  <si>
    <t xml:space="preserve"> TVET001                                      </t>
  </si>
  <si>
    <t xml:space="preserve"> Interview_Date               </t>
  </si>
  <si>
    <t xml:space="preserve"> Date the interview was conducted                              </t>
  </si>
  <si>
    <t xml:space="preserve"> Date         </t>
  </si>
  <si>
    <t xml:space="preserve"> 14/07/2026                                   </t>
  </si>
  <si>
    <t xml:space="preserve"> Age                          </t>
  </si>
  <si>
    <t xml:space="preserve"> Age of the respondent in years                                </t>
  </si>
  <si>
    <t xml:space="preserve"> Whole Number </t>
  </si>
  <si>
    <t xml:space="preserve"> Gender                       </t>
  </si>
  <si>
    <t xml:space="preserve"> Gender of the respondent                                      </t>
  </si>
  <si>
    <t xml:space="preserve"> Male                                         </t>
  </si>
  <si>
    <t xml:space="preserve"> State                        </t>
  </si>
  <si>
    <t xml:space="preserve"> State where the respondent resides                            </t>
  </si>
  <si>
    <t xml:space="preserve"> Kano                                         </t>
  </si>
  <si>
    <t xml:space="preserve"> LGA                          </t>
  </si>
  <si>
    <t xml:space="preserve"> Local Government Area of the respondent                       </t>
  </si>
  <si>
    <t xml:space="preserve"> Nassarawa                                    </t>
  </si>
  <si>
    <t xml:space="preserve"> Education_Level              </t>
  </si>
  <si>
    <t xml:space="preserve"> Highest level of education completed                          </t>
  </si>
  <si>
    <t xml:space="preserve"> Diploma                                      </t>
  </si>
  <si>
    <t xml:space="preserve"> Occupation_Before            </t>
  </si>
  <si>
    <t xml:space="preserve"> Employment status before joining the programme                </t>
  </si>
  <si>
    <t xml:space="preserve"> Unemployed                                   </t>
  </si>
  <si>
    <t xml:space="preserve"> Occupation_After             </t>
  </si>
  <si>
    <t xml:space="preserve"> Employment status after completing the programme              </t>
  </si>
  <si>
    <t xml:space="preserve"> Self-employed                                </t>
  </si>
  <si>
    <t xml:space="preserve"> Training_Centre              </t>
  </si>
  <si>
    <t xml:space="preserve"> TVET training centre attended                                 </t>
  </si>
  <si>
    <t xml:space="preserve"> Government Technical College                 </t>
  </si>
  <si>
    <t xml:space="preserve"> Trade_Completed              </t>
  </si>
  <si>
    <t xml:space="preserve"> Vocational trade completed                                    </t>
  </si>
  <si>
    <t xml:space="preserve"> ICT                                          </t>
  </si>
  <si>
    <t xml:space="preserve"> Training_Duration            </t>
  </si>
  <si>
    <t xml:space="preserve"> Duration of the training programme                            </t>
  </si>
  <si>
    <t xml:space="preserve"> 6 Months                                     </t>
  </si>
  <si>
    <t xml:space="preserve"> Source_of_Awareness          </t>
  </si>
  <si>
    <t xml:space="preserve"> How the respondent learned about the programme                </t>
  </si>
  <si>
    <t xml:space="preserve"> Social Media                                 </t>
  </si>
  <si>
    <t xml:space="preserve"> Reason_for_Enrolment         </t>
  </si>
  <si>
    <t xml:space="preserve"> Main reason for enrolling in the programme                    </t>
  </si>
  <si>
    <t xml:space="preserve"> Skill Acquisition                            </t>
  </si>
  <si>
    <t xml:space="preserve"> Admission_Transparency       </t>
  </si>
  <si>
    <t xml:space="preserve"> Respondent's opinion on the fairness of the admission process </t>
  </si>
  <si>
    <t xml:space="preserve"> Transparent                                  </t>
  </si>
  <si>
    <t xml:space="preserve"> Communication_of_Eligibility </t>
  </si>
  <si>
    <t xml:space="preserve"> Whether eligibility requirements were clearly communicated    </t>
  </si>
  <si>
    <t xml:space="preserve"> Yes                                          </t>
  </si>
  <si>
    <t xml:space="preserve"> Training_Accessibility       </t>
  </si>
  <si>
    <t xml:space="preserve"> Ease of accessing the training centre                         </t>
  </si>
  <si>
    <t xml:space="preserve"> Easy                                         </t>
  </si>
  <si>
    <t xml:space="preserve"> Instructor_Knowledge         </t>
  </si>
  <si>
    <t xml:space="preserve"> Rating of instructors' knowledge                              </t>
  </si>
  <si>
    <t xml:space="preserve"> Excellent                                    </t>
  </si>
  <si>
    <t xml:space="preserve"> Practical_Sessions           </t>
  </si>
  <si>
    <t xml:space="preserve"> Adequacy of practical training sessions                       </t>
  </si>
  <si>
    <t xml:space="preserve"> Adequate                                     </t>
  </si>
  <si>
    <t xml:space="preserve"> Learning_Materials           </t>
  </si>
  <si>
    <t xml:space="preserve"> Availability of learning materials                            </t>
  </si>
  <si>
    <t xml:space="preserve"> Available                                    </t>
  </si>
  <si>
    <t xml:space="preserve"> Training_Facilities          </t>
  </si>
  <si>
    <t xml:space="preserve"> Respondent's rating of training facilities                    </t>
  </si>
  <si>
    <t xml:space="preserve"> Good                                         </t>
  </si>
  <si>
    <t xml:space="preserve"> Equipment_Availability       </t>
  </si>
  <si>
    <t xml:space="preserve"> Availability of practical equipment                           </t>
  </si>
  <si>
    <t xml:space="preserve"> Attendance_Monitoring        </t>
  </si>
  <si>
    <t xml:space="preserve"> Attendance monitoring during training                         </t>
  </si>
  <si>
    <t xml:space="preserve"> Regular                                      </t>
  </si>
  <si>
    <t xml:space="preserve"> Technical_Competence         </t>
  </si>
  <si>
    <t xml:space="preserve"> Self-assessment of technical skills gained                    </t>
  </si>
  <si>
    <t xml:space="preserve"> High                                         </t>
  </si>
  <si>
    <t xml:space="preserve"> Practical_Experience         </t>
  </si>
  <si>
    <t xml:space="preserve"> Practical experience gained during training                   </t>
  </si>
  <si>
    <t xml:space="preserve"> Skill_Confidence             </t>
  </si>
  <si>
    <t xml:space="preserve"> Confidence in applying acquired skills                        </t>
  </si>
  <si>
    <t xml:space="preserve"> Very Confident                               </t>
  </si>
  <si>
    <t xml:space="preserve"> Digital_Literacy             </t>
  </si>
  <si>
    <t xml:space="preserve"> Improvement in digital skills                                 </t>
  </si>
  <si>
    <t xml:space="preserve"> Improved                                     </t>
  </si>
  <si>
    <t xml:space="preserve"> Communication_Teamwork       </t>
  </si>
  <si>
    <t xml:space="preserve"> Improvement in communication and teamwork skills              </t>
  </si>
  <si>
    <t xml:space="preserve"> Employment_Status            </t>
  </si>
  <si>
    <t xml:space="preserve"> Current employment status                                     </t>
  </si>
  <si>
    <t xml:space="preserve"> Job_Related_to_Training      </t>
  </si>
  <si>
    <t xml:space="preserve"> Whether the current job matches the training received         </t>
  </si>
  <si>
    <t xml:space="preserve"> Income_Improvement           </t>
  </si>
  <si>
    <t xml:space="preserve"> Whether income has improved after training                    </t>
  </si>
  <si>
    <t xml:space="preserve"> Employment_Duration          </t>
  </si>
  <si>
    <t xml:space="preserve"> Length of time in current employment                          </t>
  </si>
  <si>
    <t xml:space="preserve"> 12 Months                                    </t>
  </si>
  <si>
    <t xml:space="preserve"> Employability_Rating         </t>
  </si>
  <si>
    <t xml:space="preserve"> Overall employability rating after training                   </t>
  </si>
  <si>
    <t xml:space="preserve"> Overall_Satisfaction         </t>
  </si>
  <si>
    <t xml:space="preserve"> Overall satisfaction with the TVET programme                  </t>
  </si>
  <si>
    <t xml:space="preserve"> Satisfied                                    </t>
  </si>
  <si>
    <t xml:space="preserve"> Recommend_Programme          </t>
  </si>
  <si>
    <t xml:space="preserve"> Willingness to recommend the programme to others              </t>
  </si>
  <si>
    <t xml:space="preserve"> Programme_Met_Expectations   </t>
  </si>
  <si>
    <t xml:space="preserve"> Whether the programme met expectations                        </t>
  </si>
  <si>
    <t xml:space="preserve"> Future_Participation         </t>
  </si>
  <si>
    <t xml:space="preserve"> Interest in participating in future programmes                </t>
  </si>
  <si>
    <t xml:space="preserve"> Major_Challenge              </t>
  </si>
  <si>
    <t xml:space="preserve"> Biggest challenge experienced during training                 </t>
  </si>
  <si>
    <t xml:space="preserve"> Limited Equipment                            </t>
  </si>
  <si>
    <t xml:space="preserve"> Improvement_Area             </t>
  </si>
  <si>
    <t xml:space="preserve"> Suggested area for improvement                                </t>
  </si>
  <si>
    <t xml:space="preserve"> More Practical Sessions                      </t>
  </si>
  <si>
    <t xml:space="preserve"> Additional_Comments          </t>
  </si>
  <si>
    <t xml:space="preserve"> Additional feedback from the respondent                       </t>
  </si>
  <si>
    <t xml:space="preserve"> Long Text    </t>
  </si>
  <si>
    <t xml:space="preserve"> More training centres should be established. </t>
  </si>
  <si>
    <t>Description</t>
  </si>
  <si>
    <t>Data Type</t>
  </si>
  <si>
    <t>Example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</si>
</sst>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8"/>
      <name val="Calibri"/>
      <family val="2"/>
      <scheme val="minor"/>
    </font>
    <font>
      <sz val="11"/>
      <color rgb="FF000000"/>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0" fillId="0" borderId="1" xfId="0" applyBorder="1"/>
    <xf numFmtId="0" fontId="2" fillId="0" borderId="1" xfId="0" applyFont="1" applyBorder="1"/>
    <xf numFmtId="1" fontId="0" fillId="0" borderId="1" xfId="0" applyNumberFormat="1" applyBorder="1"/>
    <xf numFmtId="1" fontId="0" fillId="0" borderId="0" xfId="0" applyNumberFormat="1"/>
    <xf numFmtId="14" fontId="0" fillId="0" borderId="1" xfId="0" applyNumberFormat="1" applyBorder="1"/>
    <xf numFmtId="14" fontId="0" fillId="0" borderId="0" xfId="0" applyNumberFormat="1"/>
    <xf numFmtId="14"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 fontId="6"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xf numFmtId="0" fontId="5" fillId="2" borderId="1" xfId="0" applyFont="1" applyFill="1" applyBorder="1" applyAlignment="1">
      <alignment horizontal="center" vertical="center"/>
    </xf>
    <xf numFmtId="0" fontId="0" fillId="0" borderId="0" xfId="0" applyAlignment="1"/>
    <xf numFmtId="0" fontId="0" fillId="0" borderId="0" xfId="0" applyNumberFormat="1"/>
    <xf numFmtId="0" fontId="0" fillId="0" borderId="0" xfId="0" pivotButton="1"/>
    <xf numFmtId="0" fontId="0" fillId="0" borderId="0" xfId="0" applyAlignment="1">
      <alignment horizontal="left"/>
    </xf>
    <xf numFmtId="10" fontId="0" fillId="0" borderId="1" xfId="1" applyNumberFormat="1" applyFont="1" applyBorder="1"/>
    <xf numFmtId="9" fontId="0" fillId="0" borderId="1" xfId="1" applyNumberFormat="1" applyFont="1" applyBorder="1"/>
    <xf numFmtId="9" fontId="0" fillId="0" borderId="1" xfId="0" applyNumberFormat="1" applyBorder="1"/>
    <xf numFmtId="9" fontId="0" fillId="0" borderId="1" xfId="1" applyFont="1" applyBorder="1"/>
    <xf numFmtId="0" fontId="0" fillId="0" borderId="1" xfId="0" applyBorder="1" applyAlignment="1">
      <alignment horizontal="left"/>
    </xf>
    <xf numFmtId="0" fontId="0" fillId="0" borderId="1" xfId="0" applyNumberFormat="1" applyBorder="1"/>
    <xf numFmtId="9" fontId="2" fillId="0" borderId="1" xfId="1" applyFont="1" applyBorder="1"/>
    <xf numFmtId="9" fontId="2" fillId="0" borderId="1" xfId="0" applyNumberFormat="1" applyFont="1" applyBorder="1"/>
    <xf numFmtId="0" fontId="4" fillId="3" borderId="1"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2">
    <cellStyle name="Normal" xfId="0" builtinId="0"/>
    <cellStyle name="Percent" xfId="1" builtinId="5"/>
  </cellStyles>
  <dxfs count="1">
    <dxf>
      <font>
        <color theme="0"/>
      </font>
      <fill>
        <patternFill patternType="gray0625">
          <bgColor theme="4" tint="-0.499984740745262"/>
        </patternFill>
      </fill>
      <border>
        <left style="thin">
          <color theme="4" tint="0.79998168889431442"/>
        </left>
        <right style="thin">
          <color theme="4" tint="0.79998168889431442"/>
        </right>
        <top style="thin">
          <color theme="4" tint="0.79998168889431442"/>
        </top>
        <bottom style="thin">
          <color theme="4" tint="0.79998168889431442"/>
        </bottom>
      </border>
    </dxf>
  </dxfs>
  <tableStyles count="1" defaultTableStyle="TableStyleMedium9" defaultPivotStyle="PivotStyleLight16">
    <tableStyle name="Slicer Style 1" pivot="0" table="0" count="1" xr9:uid="{84CF1247-6C5B-4DC7-B8A3-4CE3E2A77D84}">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[TVET_Analysis_Data..xlsx]06_Pivot_Tables!PivotTable2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t>Gender Employment</a:t>
            </a:r>
            <a:r>
              <a:rPr lang="en-US" sz="1100" b="1" baseline="0"/>
              <a:t> Status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a:outerShdw blurRad="63500" sx="102000" sy="102000" algn="ctr" rotWithShape="0">
              <a:schemeClr val="bg1">
                <a:lumMod val="75000"/>
                <a:alpha val="40000"/>
              </a:schemeClr>
            </a:outerShdw>
            <a:softEdge rad="0"/>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a:outerShdw blurRad="63500" sx="102000" sy="102000" algn="ctr" rotWithShape="0">
              <a:schemeClr val="bg1">
                <a:lumMod val="75000"/>
                <a:alpha val="40000"/>
              </a:schemeClr>
            </a:outerShdw>
            <a:softEdge rad="0"/>
          </a:effectLst>
        </c:spPr>
      </c:pivotFmt>
      <c:pivotFmt>
        <c:idx val="10"/>
        <c:spPr>
          <a:solidFill>
            <a:schemeClr val="accent1"/>
          </a:solidFill>
          <a:ln w="19050">
            <a:noFill/>
          </a:ln>
          <a:effectLst>
            <a:outerShdw blurRad="63500" sx="102000" sy="102000" algn="ctr" rotWithShape="0">
              <a:schemeClr val="bg1">
                <a:lumMod val="75000"/>
                <a:alpha val="40000"/>
              </a:schemeClr>
            </a:outerShdw>
            <a:softEdge rad="0"/>
          </a:effectLst>
        </c:spPr>
        <c:dLbl>
          <c:idx val="0"/>
          <c:layout>
            <c:manualLayout>
              <c:x val="0"/>
              <c:y val="8.8241440553542647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'06_Pivot_Tables'!$B$2:$B$3</c:f>
              <c:strCache>
                <c:ptCount val="1"/>
                <c:pt idx="0">
                  <c:v>employed</c:v>
                </c:pt>
              </c:strCache>
            </c:strRef>
          </c:tx>
          <c:spPr>
            <a:ln>
              <a:noFill/>
            </a:ln>
            <a:effectLst>
              <a:outerShdw blurRad="63500" sx="102000" sy="102000" algn="ctr" rotWithShape="0">
                <a:schemeClr val="bg1">
                  <a:lumMod val="75000"/>
                  <a:alpha val="40000"/>
                </a:schemeClr>
              </a:outerShdw>
              <a:softEdge rad="0"/>
            </a:effectLst>
          </c:spPr>
          <c:dPt>
            <c:idx val="0"/>
            <c:bubble3D val="0"/>
            <c:spPr>
              <a:solidFill>
                <a:schemeClr val="accent1"/>
              </a:solidFill>
              <a:ln w="19050">
                <a:noFill/>
              </a:ln>
              <a:effectLst>
                <a:outerShdw blurRad="63500" sx="102000" sy="102000" algn="ctr" rotWithShape="0">
                  <a:schemeClr val="bg1">
                    <a:lumMod val="75000"/>
                    <a:alpha val="40000"/>
                  </a:schemeClr>
                </a:outerShdw>
                <a:softEdge rad="0"/>
              </a:effectLst>
            </c:spPr>
            <c:extLst>
              <c:ext xmlns:c16="http://schemas.microsoft.com/office/drawing/2014/chart" uri="{C3380CC4-5D6E-409C-BE32-E72D297353CC}">
                <c16:uniqueId val="{00000001-797E-4A3B-8649-414D0F67AFF6}"/>
              </c:ext>
            </c:extLst>
          </c:dPt>
          <c:dPt>
            <c:idx val="1"/>
            <c:bubble3D val="0"/>
            <c:spPr>
              <a:solidFill>
                <a:schemeClr val="accent2"/>
              </a:solidFill>
              <a:ln w="19050">
                <a:noFill/>
              </a:ln>
              <a:effectLst>
                <a:outerShdw blurRad="63500" sx="102000" sy="102000" algn="ctr" rotWithShape="0">
                  <a:schemeClr val="bg1">
                    <a:lumMod val="75000"/>
                    <a:alpha val="40000"/>
                  </a:schemeClr>
                </a:outerShdw>
                <a:softEdge rad="0"/>
              </a:effectLst>
            </c:spPr>
            <c:extLst>
              <c:ext xmlns:c16="http://schemas.microsoft.com/office/drawing/2014/chart" uri="{C3380CC4-5D6E-409C-BE32-E72D297353CC}">
                <c16:uniqueId val="{00000003-797E-4A3B-8649-414D0F67AFF6}"/>
              </c:ext>
            </c:extLst>
          </c:dPt>
          <c:dLbls>
            <c:dLbl>
              <c:idx val="1"/>
              <c:layout>
                <c:manualLayout>
                  <c:x val="0"/>
                  <c:y val="8.8241440553542647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7E-4A3B-8649-414D0F67AFF6}"/>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'06_Pivot_Tables'!$A$4:$A$6</c:f>
              <c:strCache>
                <c:ptCount val="2"/>
                <c:pt idx="0">
                  <c:v>female</c:v>
                </c:pt>
                <c:pt idx="1">
                  <c:v>male</c:v>
                </c:pt>
              </c:strCache>
            </c:strRef>
          </c:cat>
          <c:val>
            <c:numRef>
              <c:f>'06_Pivot_Tables'!$B$4:$B$6</c:f>
              <c:numCache>
                <c:formatCode>General</c:formatCode>
                <c:ptCount val="2"/>
                <c:pt idx="0">
                  <c:v>14</c:v>
                </c:pt>
                <c:pt idx="1">
                  <c:v>2</c:v>
                </c:pt>
              </c:numCache>
            </c:numRef>
          </c:val>
          <c:extLst>
            <c:ext xmlns:c16="http://schemas.microsoft.com/office/drawing/2014/chart" uri="{C3380CC4-5D6E-409C-BE32-E72D297353CC}">
              <c16:uniqueId val="{00000004-797E-4A3B-8649-414D0F67AFF6}"/>
            </c:ext>
          </c:extLst>
        </c:ser>
        <c:ser>
          <c:idx val="1"/>
          <c:order val="1"/>
          <c:tx>
            <c:strRef>
              <c:f>'06_Pivot_Tables'!$C$2:$C$3</c:f>
              <c:strCache>
                <c:ptCount val="1"/>
                <c:pt idx="0">
                  <c:v>self_employed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1C7-49EF-A2D0-D1A0B412F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1C7-49EF-A2D0-D1A0B412FAB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'06_Pivot_Tables'!$A$4:$A$6</c:f>
              <c:strCache>
                <c:ptCount val="2"/>
                <c:pt idx="0">
                  <c:v>female</c:v>
                </c:pt>
                <c:pt idx="1">
                  <c:v>male</c:v>
                </c:pt>
              </c:strCache>
            </c:strRef>
          </c:cat>
          <c:val>
            <c:numRef>
              <c:f>'06_Pivot_Tables'!$C$4:$C$6</c:f>
              <c:numCache>
                <c:formatCode>General</c:formatCode>
                <c:ptCount val="2"/>
                <c:pt idx="0">
                  <c:v>10</c:v>
                </c:pt>
                <c:pt idx="1">
                  <c:v>28</c:v>
                </c:pt>
              </c:numCache>
            </c:numRef>
          </c:val>
          <c:extLst>
            <c:ext xmlns:c16="http://schemas.microsoft.com/office/drawing/2014/chart" uri="{C3380CC4-5D6E-409C-BE32-E72D297353CC}">
              <c16:uniqueId val="{0000000E-797E-4A3B-8649-414D0F67AF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4925" cap="flat" cmpd="sng" algn="ctr">
      <a:noFill/>
      <a:round/>
    </a:ln>
    <a:effectLst>
      <a:outerShdw blurRad="38100" sx="102000" sy="102000" algn="ctr" rotWithShape="0">
        <a:schemeClr val="bg1">
          <a:lumMod val="65000"/>
          <a:alpha val="53000"/>
        </a:schemeClr>
      </a:outerShdw>
      <a:softEdge rad="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[TVET_Analysis_Data..xlsx]06_Pivot_Tables!PivotTable3</c:name>
    <c:fmtId val="3"/>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b="1"/>
              <a:t>Educational Level</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'06_Pivot_Tables'!$B$9:$B$10</c:f>
              <c:strCache>
                <c:ptCount val="1"/>
                <c:pt idx="0">
                  <c:v>employed</c:v>
                </c:pt>
              </c:strCache>
            </c:strRef>
          </c:tx>
          <c:spPr>
            <a:solidFill>
              <a:schemeClr val="accent1"/>
            </a:solidFill>
            <a:ln>
              <a:noFill/>
            </a:ln>
            <a:effectLst/>
          </c:spPr>
          <c:invertIfNegative val="0"/>
          <c:cat>
            <c:strRef>
              <c:f>'06_Pivot_Tables'!$A$11:$A$13</c:f>
              <c:strCache>
                <c:ptCount val="2"/>
                <c:pt idx="0">
                  <c:v>secondary</c:v>
                </c:pt>
                <c:pt idx="1">
                  <c:v>tertiary</c:v>
                </c:pt>
              </c:strCache>
            </c:strRef>
          </c:cat>
          <c:val>
            <c:numRef>
              <c:f>'06_Pivot_Tables'!$B$11:$B$13</c:f>
              <c:numCache>
                <c:formatCode>General</c:formatCode>
                <c:ptCount val="2"/>
                <c:pt idx="0">
                  <c:v>2</c:v>
                </c:pt>
                <c:pt idx="1">
                  <c:v>14</c:v>
                </c:pt>
              </c:numCache>
            </c:numRef>
          </c:val>
          <c:extLst>
            <c:ext xmlns:c16="http://schemas.microsoft.com/office/drawing/2014/chart" uri="{C3380CC4-5D6E-409C-BE32-E72D297353CC}">
              <c16:uniqueId val="{00000000-2BCB-4A19-97F6-1050CD071764}"/>
            </c:ext>
          </c:extLst>
        </c:ser>
        <c:ser>
          <c:idx val="1"/>
          <c:order val="1"/>
          <c:tx>
            <c:strRef>
              <c:f>'06_Pivot_Tables'!$C$9:$C$10</c:f>
              <c:strCache>
                <c:ptCount val="1"/>
                <c:pt idx="0">
                  <c:v>self_employed</c:v>
                </c:pt>
              </c:strCache>
            </c:strRef>
          </c:tx>
          <c:spPr>
            <a:solidFill>
              <a:schemeClr val="accent2"/>
            </a:solidFill>
            <a:ln>
              <a:noFill/>
            </a:ln>
            <a:effectLst/>
          </c:spPr>
          <c:invertIfNegative val="0"/>
          <c:cat>
            <c:strRef>
              <c:f>'06_Pivot_Tables'!$A$11:$A$13</c:f>
              <c:strCache>
                <c:ptCount val="2"/>
                <c:pt idx="0">
                  <c:v>secondary</c:v>
                </c:pt>
                <c:pt idx="1">
                  <c:v>tertiary</c:v>
                </c:pt>
              </c:strCache>
            </c:strRef>
          </c:cat>
          <c:val>
            <c:numRef>
              <c:f>'06_Pivot_Tables'!$C$11:$C$13</c:f>
              <c:numCache>
                <c:formatCode>General</c:formatCode>
                <c:ptCount val="2"/>
                <c:pt idx="0">
                  <c:v>27</c:v>
                </c:pt>
                <c:pt idx="1">
                  <c:v>11</c:v>
                </c:pt>
              </c:numCache>
            </c:numRef>
          </c:val>
          <c:extLst>
            <c:ext xmlns:c16="http://schemas.microsoft.com/office/drawing/2014/chart" uri="{C3380CC4-5D6E-409C-BE32-E72D297353CC}">
              <c16:uniqueId val="{00000005-2BCB-4A19-97F6-1050CD071764}"/>
            </c:ext>
          </c:extLst>
        </c:ser>
        <c:dLbls>
          <c:showLegendKey val="0"/>
          <c:showVal val="0"/>
          <c:showCatName val="0"/>
          <c:showSerName val="0"/>
          <c:showPercent val="0"/>
          <c:showBubbleSize val="0"/>
        </c:dLbls>
        <c:gapWidth val="219"/>
        <c:overlap val="-27"/>
        <c:axId val="763790399"/>
        <c:axId val="763789439"/>
      </c:barChart>
      <c:catAx>
        <c:axId val="76379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63789439"/>
        <c:crosses val="autoZero"/>
        <c:auto val="1"/>
        <c:lblAlgn val="ctr"/>
        <c:lblOffset val="100"/>
        <c:noMultiLvlLbl val="0"/>
      </c:catAx>
      <c:valAx>
        <c:axId val="76378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637903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schemeClr val="bg1">
          <a:lumMod val="65000"/>
          <a:alpha val="40000"/>
        </a:scheme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[TVET_Analysis_Data..xlsx]06_Pivot_Tables!PivotTable4</c:name>
    <c:fmtId val="3"/>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b="1"/>
              <a:t>Trade</a:t>
            </a:r>
            <a:r>
              <a:rPr lang="en-US" b="1" baseline="0"/>
              <a:t> Comleted</a:t>
            </a:r>
            <a:endParaRPr lang="en-US"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'06_Pivot_Tables'!$B$16:$B$17</c:f>
              <c:strCache>
                <c:ptCount val="1"/>
                <c:pt idx="0">
                  <c:v>employed</c:v>
                </c:pt>
              </c:strCache>
            </c:strRef>
          </c:tx>
          <c:spPr>
            <a:solidFill>
              <a:schemeClr val="accent1"/>
            </a:solidFill>
            <a:ln>
              <a:noFill/>
            </a:ln>
            <a:effectLst/>
          </c:spPr>
          <c:invertIfNegative val="0"/>
          <c:cat>
            <c:strRef>
              <c:f>'06_Pivot_Tables'!$A$18:$A$22</c:f>
              <c:strCache>
                <c:ptCount val="4"/>
                <c:pt idx="0">
                  <c:v>carpentry</c:v>
                </c:pt>
                <c:pt idx="1">
                  <c:v>ict</c:v>
                </c:pt>
                <c:pt idx="2">
                  <c:v>plumbing</c:v>
                </c:pt>
                <c:pt idx="3">
                  <c:v>tailoring</c:v>
                </c:pt>
              </c:strCache>
            </c:strRef>
          </c:cat>
          <c:val>
            <c:numRef>
              <c:f>'06_Pivot_Tables'!$B$18:$B$22</c:f>
              <c:numCache>
                <c:formatCode>General</c:formatCode>
                <c:ptCount val="4"/>
                <c:pt idx="1">
                  <c:v>15</c:v>
                </c:pt>
                <c:pt idx="3">
                  <c:v>1</c:v>
                </c:pt>
              </c:numCache>
            </c:numRef>
          </c:val>
          <c:extLst>
            <c:ext xmlns:c16="http://schemas.microsoft.com/office/drawing/2014/chart" uri="{C3380CC4-5D6E-409C-BE32-E72D297353CC}">
              <c16:uniqueId val="{00000000-22BF-4E67-9717-A0AE300C1EE3}"/>
            </c:ext>
          </c:extLst>
        </c:ser>
        <c:ser>
          <c:idx val="1"/>
          <c:order val="1"/>
          <c:tx>
            <c:strRef>
              <c:f>'06_Pivot_Tables'!$C$16:$C$17</c:f>
              <c:strCache>
                <c:ptCount val="1"/>
                <c:pt idx="0">
                  <c:v>self_employed</c:v>
                </c:pt>
              </c:strCache>
            </c:strRef>
          </c:tx>
          <c:spPr>
            <a:solidFill>
              <a:schemeClr val="accent2"/>
            </a:solidFill>
            <a:ln>
              <a:noFill/>
            </a:ln>
            <a:effectLst/>
          </c:spPr>
          <c:invertIfNegative val="0"/>
          <c:cat>
            <c:strRef>
              <c:f>'06_Pivot_Tables'!$A$18:$A$22</c:f>
              <c:strCache>
                <c:ptCount val="4"/>
                <c:pt idx="0">
                  <c:v>carpentry</c:v>
                </c:pt>
                <c:pt idx="1">
                  <c:v>ict</c:v>
                </c:pt>
                <c:pt idx="2">
                  <c:v>plumbing</c:v>
                </c:pt>
                <c:pt idx="3">
                  <c:v>tailoring</c:v>
                </c:pt>
              </c:strCache>
            </c:strRef>
          </c:cat>
          <c:val>
            <c:numRef>
              <c:f>'06_Pivot_Tables'!$C$18:$C$22</c:f>
              <c:numCache>
                <c:formatCode>General</c:formatCode>
                <c:ptCount val="4"/>
                <c:pt idx="0">
                  <c:v>14</c:v>
                </c:pt>
                <c:pt idx="1">
                  <c:v>4</c:v>
                </c:pt>
                <c:pt idx="2">
                  <c:v>10</c:v>
                </c:pt>
                <c:pt idx="3">
                  <c:v>10</c:v>
                </c:pt>
              </c:numCache>
            </c:numRef>
          </c:val>
          <c:extLst>
            <c:ext xmlns:c16="http://schemas.microsoft.com/office/drawing/2014/chart" uri="{C3380CC4-5D6E-409C-BE32-E72D297353CC}">
              <c16:uniqueId val="{00000005-22BF-4E67-9717-A0AE300C1EE3}"/>
            </c:ext>
          </c:extLst>
        </c:ser>
        <c:dLbls>
          <c:showLegendKey val="0"/>
          <c:showVal val="0"/>
          <c:showCatName val="0"/>
          <c:showSerName val="0"/>
          <c:showPercent val="0"/>
          <c:showBubbleSize val="0"/>
        </c:dLbls>
        <c:gapWidth val="182"/>
        <c:axId val="773588991"/>
        <c:axId val="773587551"/>
      </c:barChart>
      <c:catAx>
        <c:axId val="77358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73587551"/>
        <c:crosses val="autoZero"/>
        <c:auto val="1"/>
        <c:lblAlgn val="ctr"/>
        <c:lblOffset val="100"/>
        <c:noMultiLvlLbl val="0"/>
      </c:catAx>
      <c:valAx>
        <c:axId val="77358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73588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schemeClr val="bg1">
          <a:lumMod val="65000"/>
          <a:alpha val="40000"/>
        </a:scheme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[TVET_Analysis_Data..xlsx]06_Pivot_Tables!PivotTable5</c:name>
    <c:fmtId val="3"/>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b="1"/>
              <a:t>Employment</a:t>
            </a:r>
            <a:r>
              <a:rPr lang="en-US" b="1" baseline="0"/>
              <a:t> Status</a:t>
            </a:r>
            <a:endParaRPr lang="en-US"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a:outerShdw blurRad="63500" sx="102000" sy="102000" algn="ctr" rotWithShape="0">
              <a:schemeClr val="bg1">
                <a:lumMod val="65000"/>
                <a:alpha val="40000"/>
              </a:schemeClr>
            </a:outerShdw>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noFill/>
          </a:ln>
          <a:effectLst>
            <a:outerShdw blurRad="63500" sx="102000" sy="102000" algn="ctr" rotWithShape="0">
              <a:schemeClr val="bg1">
                <a:lumMod val="65000"/>
                <a:alpha val="40000"/>
              </a:schemeClr>
            </a:outerShdw>
          </a:effectLst>
        </c:spPr>
      </c:pivotFmt>
      <c:pivotFmt>
        <c:idx val="14"/>
        <c:spPr>
          <a:solidFill>
            <a:schemeClr val="accent1"/>
          </a:solidFill>
          <a:ln w="19050">
            <a:noFill/>
          </a:ln>
          <a:effectLst>
            <a:outerShdw blurRad="63500" sx="102000" sy="102000" algn="ctr" rotWithShape="0">
              <a:schemeClr val="bg1">
                <a:lumMod val="65000"/>
                <a:alpha val="40000"/>
              </a:schemeClr>
            </a:outerShdw>
          </a:effectLst>
        </c:spPr>
      </c:pivotFmt>
      <c:pivotFmt>
        <c:idx val="15"/>
        <c:spPr>
          <a:solidFill>
            <a:schemeClr val="accent1"/>
          </a:solidFill>
          <a:ln w="19050">
            <a:noFill/>
          </a:ln>
          <a:effectLst>
            <a:outerShdw blurRad="63500" sx="102000" sy="102000" algn="ctr" rotWithShape="0">
              <a:schemeClr val="bg1">
                <a:lumMod val="65000"/>
                <a:alpha val="40000"/>
              </a:schemeClr>
            </a:outerShdw>
          </a:effectLst>
        </c:spPr>
      </c:pivotFmt>
      <c:pivotFmt>
        <c:idx val="16"/>
        <c:spPr>
          <a:solidFill>
            <a:schemeClr val="accent1"/>
          </a:solidFill>
          <a:ln w="19050">
            <a:noFill/>
          </a:ln>
          <a:effectLst>
            <a:outerShdw blurRad="63500" sx="102000" sy="102000" algn="ctr" rotWithShape="0">
              <a:schemeClr val="bg1">
                <a:lumMod val="65000"/>
                <a:alpha val="40000"/>
              </a:schemeClr>
            </a:outerShdw>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'06_Pivot_Tables'!$B$25:$B$26</c:f>
              <c:strCache>
                <c:ptCount val="1"/>
                <c:pt idx="0">
                  <c:v>moderate</c:v>
                </c:pt>
              </c:strCache>
            </c:strRef>
          </c:tx>
          <c:spPr>
            <a:ln>
              <a:noFill/>
            </a:ln>
            <a:effectLst>
              <a:outerShdw blurRad="63500" sx="102000" sy="102000" algn="ctr" rotWithShape="0">
                <a:schemeClr val="bg1">
                  <a:lumMod val="65000"/>
                  <a:alpha val="40000"/>
                </a:schemeClr>
              </a:outerShdw>
            </a:effectLst>
          </c:spPr>
          <c:dPt>
            <c:idx val="0"/>
            <c:bubble3D val="0"/>
            <c:spPr>
              <a:solidFill>
                <a:schemeClr val="accent1"/>
              </a:solidFill>
              <a:ln w="19050">
                <a:noFill/>
              </a:ln>
              <a:effectLst>
                <a:outerShdw blurRad="63500" sx="102000" sy="102000" algn="ctr" rotWithShape="0">
                  <a:schemeClr val="bg1">
                    <a:lumMod val="65000"/>
                    <a:alpha val="40000"/>
                  </a:schemeClr>
                </a:outerShdw>
              </a:effectLst>
            </c:spPr>
            <c:extLst>
              <c:ext xmlns:c16="http://schemas.microsoft.com/office/drawing/2014/chart" uri="{C3380CC4-5D6E-409C-BE32-E72D297353CC}">
                <c16:uniqueId val="{00000001-C0A5-4DA7-8F67-203B084958EF}"/>
              </c:ext>
            </c:extLst>
          </c:dPt>
          <c:dPt>
            <c:idx val="1"/>
            <c:bubble3D val="0"/>
            <c:spPr>
              <a:solidFill>
                <a:schemeClr val="accent2"/>
              </a:solidFill>
              <a:ln w="19050">
                <a:noFill/>
              </a:ln>
              <a:effectLst>
                <a:outerShdw blurRad="63500" sx="102000" sy="102000" algn="ctr" rotWithShape="0">
                  <a:schemeClr val="bg1">
                    <a:lumMod val="65000"/>
                    <a:alpha val="40000"/>
                  </a:schemeClr>
                </a:outerShdw>
              </a:effectLst>
            </c:spPr>
            <c:extLst>
              <c:ext xmlns:c16="http://schemas.microsoft.com/office/drawing/2014/chart" uri="{C3380CC4-5D6E-409C-BE32-E72D297353CC}">
                <c16:uniqueId val="{00000003-C0A5-4DA7-8F67-203B084958EF}"/>
              </c:ext>
            </c:extLst>
          </c:dPt>
          <c:dPt>
            <c:idx val="2"/>
            <c:bubble3D val="0"/>
            <c:spPr>
              <a:solidFill>
                <a:schemeClr val="accent3"/>
              </a:solidFill>
              <a:ln w="19050">
                <a:noFill/>
              </a:ln>
              <a:effectLst>
                <a:outerShdw blurRad="63500" sx="102000" sy="102000" algn="ctr" rotWithShape="0">
                  <a:schemeClr val="bg1">
                    <a:lumMod val="65000"/>
                    <a:alpha val="40000"/>
                  </a:schemeClr>
                </a:outerShdw>
              </a:effectLst>
            </c:spPr>
            <c:extLst>
              <c:ext xmlns:c16="http://schemas.microsoft.com/office/drawing/2014/chart" uri="{C3380CC4-5D6E-409C-BE32-E72D297353CC}">
                <c16:uniqueId val="{00000005-C0A5-4DA7-8F67-203B084958EF}"/>
              </c:ext>
            </c:extLst>
          </c:dPt>
          <c:dPt>
            <c:idx val="3"/>
            <c:bubble3D val="0"/>
            <c:spPr>
              <a:solidFill>
                <a:schemeClr val="accent4"/>
              </a:solidFill>
              <a:ln w="19050">
                <a:noFill/>
              </a:ln>
              <a:effectLst>
                <a:outerShdw blurRad="63500" sx="102000" sy="102000" algn="ctr" rotWithShape="0">
                  <a:schemeClr val="bg1">
                    <a:lumMod val="65000"/>
                    <a:alpha val="40000"/>
                  </a:schemeClr>
                </a:outerShdw>
              </a:effectLst>
            </c:spPr>
            <c:extLst>
              <c:ext xmlns:c16="http://schemas.microsoft.com/office/drawing/2014/chart" uri="{C3380CC4-5D6E-409C-BE32-E72D297353CC}">
                <c16:uniqueId val="{00000007-C0A5-4DA7-8F67-203B084958EF}"/>
              </c:ext>
            </c:extLst>
          </c:dPt>
          <c:dLbls>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'06_Pivot_Tables'!$A$27:$A$31</c:f>
              <c:strCache>
                <c:ptCount val="4"/>
                <c:pt idx="0">
                  <c:v>carpentry</c:v>
                </c:pt>
                <c:pt idx="1">
                  <c:v>ict</c:v>
                </c:pt>
                <c:pt idx="2">
                  <c:v>plumbing</c:v>
                </c:pt>
                <c:pt idx="3">
                  <c:v>tailoring</c:v>
                </c:pt>
              </c:strCache>
            </c:strRef>
          </c:cat>
          <c:val>
            <c:numRef>
              <c:f>'06_Pivot_Tables'!$B$27:$B$31</c:f>
              <c:numCache>
                <c:formatCode>General</c:formatCode>
                <c:ptCount val="4"/>
                <c:pt idx="1">
                  <c:v>14</c:v>
                </c:pt>
                <c:pt idx="2">
                  <c:v>5</c:v>
                </c:pt>
                <c:pt idx="3">
                  <c:v>6</c:v>
                </c:pt>
              </c:numCache>
            </c:numRef>
          </c:val>
          <c:extLst>
            <c:ext xmlns:c16="http://schemas.microsoft.com/office/drawing/2014/chart" uri="{C3380CC4-5D6E-409C-BE32-E72D297353CC}">
              <c16:uniqueId val="{00000008-C0A5-4DA7-8F67-203B084958EF}"/>
            </c:ext>
          </c:extLst>
        </c:ser>
        <c:ser>
          <c:idx val="1"/>
          <c:order val="1"/>
          <c:tx>
            <c:strRef>
              <c:f>'06_Pivot_Tables'!$C$25:$C$26</c:f>
              <c:strCache>
                <c:ptCount val="1"/>
                <c:pt idx="0">
                  <c:v>significant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C0A5-4DA7-8F67-203B084958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C0A5-4DA7-8F67-203B084958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C0A5-4DA7-8F67-203B084958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C0A5-4DA7-8F67-203B084958EF}"/>
              </c:ext>
            </c:extLst>
          </c:dPt>
          <c:cat>
            <c:strRef>
              <c:f>'06_Pivot_Tables'!$A$27:$A$31</c:f>
              <c:strCache>
                <c:ptCount val="4"/>
                <c:pt idx="0">
                  <c:v>carpentry</c:v>
                </c:pt>
                <c:pt idx="1">
                  <c:v>ict</c:v>
                </c:pt>
                <c:pt idx="2">
                  <c:v>plumbing</c:v>
                </c:pt>
                <c:pt idx="3">
                  <c:v>tailoring</c:v>
                </c:pt>
              </c:strCache>
            </c:strRef>
          </c:cat>
          <c:val>
            <c:numRef>
              <c:f>'06_Pivot_Tables'!$C$27:$C$31</c:f>
              <c:numCache>
                <c:formatCode>General</c:formatCode>
                <c:ptCount val="4"/>
                <c:pt idx="0">
                  <c:v>14</c:v>
                </c:pt>
                <c:pt idx="1">
                  <c:v>5</c:v>
                </c:pt>
                <c:pt idx="2">
                  <c:v>5</c:v>
                </c:pt>
                <c:pt idx="3">
                  <c:v>5</c:v>
                </c:pt>
              </c:numCache>
            </c:numRef>
          </c:val>
          <c:extLst>
            <c:ext xmlns:c16="http://schemas.microsoft.com/office/drawing/2014/chart" uri="{C3380CC4-5D6E-409C-BE32-E72D297353CC}">
              <c16:uniqueId val="{00000011-C0A5-4DA7-8F67-203B084958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schemeClr val="bg1">
          <a:lumMod val="65000"/>
          <a:alpha val="40000"/>
        </a:scheme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[TVET_Analysis_Data..xlsx]06_Pivot_Tables!PivotTable6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80" b="0" i="0" u="none" strike="noStrike" kern="1200" spc="0" baseline="0">
                <a:solidFill>
                  <a:sysClr val="window" lastClr="FFFFFF"/>
                </a:solidFill>
                <a:latin typeface="+mn-lt"/>
                <a:ea typeface="+mn-ea"/>
                <a:cs typeface="+mn-cs"/>
              </a:defRPr>
            </a:pPr>
            <a:r>
              <a:rPr lang="en-US" sz="1080" b="1" i="0" u="none" strike="noStrike" kern="1200" spc="0" baseline="0">
                <a:solidFill>
                  <a:sysClr val="window" lastClr="FFFFFF"/>
                </a:solidFill>
              </a:rPr>
              <a:t>Overall Satsifaction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8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'06_Pivot_Tables'!$G$2:$G$3</c:f>
              <c:strCache>
                <c:ptCount val="1"/>
                <c:pt idx="0">
                  <c:v>yes</c:v>
                </c:pt>
              </c:strCache>
            </c:strRef>
          </c:tx>
          <c:spPr>
            <a:solidFill>
              <a:schemeClr val="accent1"/>
            </a:solidFill>
            <a:ln>
              <a:noFill/>
            </a:ln>
            <a:effectLst/>
          </c:spPr>
          <c:invertIfNegative val="0"/>
          <c:cat>
            <c:strRef>
              <c:f>'06_Pivot_Tables'!$F$4:$F$6</c:f>
              <c:strCache>
                <c:ptCount val="2"/>
                <c:pt idx="0">
                  <c:v>excellent</c:v>
                </c:pt>
                <c:pt idx="1">
                  <c:v>good</c:v>
                </c:pt>
              </c:strCache>
            </c:strRef>
          </c:cat>
          <c:val>
            <c:numRef>
              <c:f>'06_Pivot_Tables'!$G$4:$G$6</c:f>
              <c:numCache>
                <c:formatCode>General</c:formatCode>
                <c:ptCount val="2"/>
                <c:pt idx="0">
                  <c:v>21</c:v>
                </c:pt>
                <c:pt idx="1">
                  <c:v>33</c:v>
                </c:pt>
              </c:numCache>
            </c:numRef>
          </c:val>
          <c:extLst>
            <c:ext xmlns:c16="http://schemas.microsoft.com/office/drawing/2014/chart" uri="{C3380CC4-5D6E-409C-BE32-E72D297353CC}">
              <c16:uniqueId val="{00000000-0BBB-4929-BAD9-97DA9C548EF8}"/>
            </c:ext>
          </c:extLst>
        </c:ser>
        <c:dLbls>
          <c:showLegendKey val="0"/>
          <c:showVal val="0"/>
          <c:showCatName val="0"/>
          <c:showSerName val="0"/>
          <c:showPercent val="0"/>
          <c:showBubbleSize val="0"/>
        </c:dLbls>
        <c:gapWidth val="219"/>
        <c:axId val="745717583"/>
        <c:axId val="745718543"/>
      </c:barChart>
      <c:catAx>
        <c:axId val="7457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45718543"/>
        <c:crosses val="autoZero"/>
        <c:auto val="1"/>
        <c:lblAlgn val="ctr"/>
        <c:lblOffset val="100"/>
        <c:noMultiLvlLbl val="0"/>
      </c:catAx>
      <c:valAx>
        <c:axId val="74571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457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schemeClr val="bg1">
          <a:lumMod val="65000"/>
          <a:alpha val="40000"/>
        </a:scheme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[TVET_Analysis_Data..xlsx]06_Pivot_Tables!PivotTable7</c:name>
    <c:fmtId val="6"/>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b="1"/>
              <a:t>Overall</a:t>
            </a:r>
            <a:r>
              <a:rPr lang="en-US" b="1" baseline="0"/>
              <a:t> Satsifaction</a:t>
            </a:r>
            <a:endParaRPr lang="en-US"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'06_Pivot_Tables'!$G$9:$G$10</c:f>
              <c:strCache>
                <c:ptCount val="1"/>
                <c:pt idx="0">
                  <c:v>yes</c:v>
                </c:pt>
              </c:strCache>
            </c:strRef>
          </c:tx>
          <c:spPr>
            <a:solidFill>
              <a:schemeClr val="accent1"/>
            </a:solidFill>
            <a:ln>
              <a:noFill/>
            </a:ln>
            <a:effectLst/>
          </c:spPr>
          <c:invertIfNegative val="0"/>
          <c:cat>
            <c:strRef>
              <c:f>'06_Pivot_Tables'!$F$11:$F$13</c:f>
              <c:strCache>
                <c:ptCount val="2"/>
                <c:pt idx="0">
                  <c:v>excellent</c:v>
                </c:pt>
                <c:pt idx="1">
                  <c:v>good</c:v>
                </c:pt>
              </c:strCache>
            </c:strRef>
          </c:cat>
          <c:val>
            <c:numRef>
              <c:f>'06_Pivot_Tables'!$G$11:$G$13</c:f>
              <c:numCache>
                <c:formatCode>General</c:formatCode>
                <c:ptCount val="2"/>
                <c:pt idx="0">
                  <c:v>21</c:v>
                </c:pt>
                <c:pt idx="1">
                  <c:v>33</c:v>
                </c:pt>
              </c:numCache>
            </c:numRef>
          </c:val>
          <c:extLst>
            <c:ext xmlns:c16="http://schemas.microsoft.com/office/drawing/2014/chart" uri="{C3380CC4-5D6E-409C-BE32-E72D297353CC}">
              <c16:uniqueId val="{00000000-9D2D-4CD1-9511-F17075F38046}"/>
            </c:ext>
          </c:extLst>
        </c:ser>
        <c:dLbls>
          <c:showLegendKey val="0"/>
          <c:showVal val="0"/>
          <c:showCatName val="0"/>
          <c:showSerName val="0"/>
          <c:showPercent val="0"/>
          <c:showBubbleSize val="0"/>
        </c:dLbls>
        <c:gapWidth val="219"/>
        <c:overlap val="-27"/>
        <c:axId val="745716143"/>
        <c:axId val="745716623"/>
      </c:barChart>
      <c:catAx>
        <c:axId val="74571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45716623"/>
        <c:crosses val="autoZero"/>
        <c:auto val="1"/>
        <c:lblAlgn val="ctr"/>
        <c:lblOffset val="100"/>
        <c:noMultiLvlLbl val="0"/>
      </c:catAx>
      <c:valAx>
        <c:axId val="74571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4571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schemeClr val="bg1">
          <a:lumMod val="65000"/>
          <a:alpha val="40000"/>
        </a:scheme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[TVET_Analysis_Data..xlsx]06_Pivot_Tables!PivotTable8</c:name>
    <c:fmtId val="3"/>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b="1"/>
              <a:t> State</a:t>
            </a:r>
            <a:r>
              <a:rPr lang="en-US" b="1" baseline="0"/>
              <a:t> by </a:t>
            </a:r>
            <a:r>
              <a:rPr lang="en-US" b="1"/>
              <a:t>Trade Completed</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'06_Pivot_Tables'!$G$16:$G$17</c:f>
              <c:strCache>
                <c:ptCount val="1"/>
                <c:pt idx="0">
                  <c:v>carpentry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'06_Pivot_Tables'!$F$18:$F$19</c:f>
              <c:strCache>
                <c:ptCount val="1"/>
                <c:pt idx="0">
                  <c:v>Kano</c:v>
                </c:pt>
              </c:strCache>
            </c:strRef>
          </c:cat>
          <c:val>
            <c:numRef>
              <c:f>'06_Pivot_Tables'!$G$18:$G$19</c:f>
              <c:numCache>
                <c:formatCode>General</c:formatCode>
                <c:ptCount val="1"/>
                <c:pt idx="0">
                  <c:v>14</c:v>
                </c:pt>
              </c:numCache>
            </c:numRef>
          </c:val>
          <c:extLst>
            <c:ext xmlns:c16="http://schemas.microsoft.com/office/drawing/2014/chart" uri="{C3380CC4-5D6E-409C-BE32-E72D297353CC}">
              <c16:uniqueId val="{00000000-B220-4C2C-84D8-6E096B09FC01}"/>
            </c:ext>
          </c:extLst>
        </c:ser>
        <c:ser>
          <c:idx val="1"/>
          <c:order val="1"/>
          <c:tx>
            <c:strRef>
              <c:f>'06_Pivot_Tables'!$H$16:$H$17</c:f>
              <c:strCache>
                <c:ptCount val="1"/>
                <c:pt idx="0">
                  <c:v>ict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'06_Pivot_Tables'!$F$18:$F$19</c:f>
              <c:strCache>
                <c:ptCount val="1"/>
                <c:pt idx="0">
                  <c:v>Kano</c:v>
                </c:pt>
              </c:strCache>
            </c:strRef>
          </c:cat>
          <c:val>
            <c:numRef>
              <c:f>'06_Pivot_Tables'!$H$18:$H$19</c:f>
              <c:numCache>
                <c:formatCode>General</c:formatCode>
                <c:ptCount val="1"/>
                <c:pt idx="0">
                  <c:v>19</c:v>
                </c:pt>
              </c:numCache>
            </c:numRef>
          </c:val>
          <c:extLst>
            <c:ext xmlns:c16="http://schemas.microsoft.com/office/drawing/2014/chart" uri="{C3380CC4-5D6E-409C-BE32-E72D297353CC}">
              <c16:uniqueId val="{00000001-B220-4C2C-84D8-6E096B09FC01}"/>
            </c:ext>
          </c:extLst>
        </c:ser>
        <c:ser>
          <c:idx val="2"/>
          <c:order val="2"/>
          <c:tx>
            <c:strRef>
              <c:f>'06_Pivot_Tables'!$I$16:$I$17</c:f>
              <c:strCache>
                <c:ptCount val="1"/>
                <c:pt idx="0">
                  <c:v>plumbing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'06_Pivot_Tables'!$F$18:$F$19</c:f>
              <c:strCache>
                <c:ptCount val="1"/>
                <c:pt idx="0">
                  <c:v>Kano</c:v>
                </c:pt>
              </c:strCache>
            </c:strRef>
          </c:cat>
          <c:val>
            <c:numRef>
              <c:f>'06_Pivot_Tables'!$I$18:$I$19</c:f>
              <c:numCache>
                <c:formatCode>General</c:formatCode>
                <c:ptCount val="1"/>
                <c:pt idx="0">
                  <c:v>10</c:v>
                </c:pt>
              </c:numCache>
            </c:numRef>
          </c:val>
          <c:extLst>
            <c:ext xmlns:c16="http://schemas.microsoft.com/office/drawing/2014/chart" uri="{C3380CC4-5D6E-409C-BE32-E72D297353CC}">
              <c16:uniqueId val="{00000002-B220-4C2C-84D8-6E096B09FC01}"/>
            </c:ext>
          </c:extLst>
        </c:ser>
        <c:ser>
          <c:idx val="3"/>
          <c:order val="3"/>
          <c:tx>
            <c:strRef>
              <c:f>'06_Pivot_Tables'!$J$16:$J$17</c:f>
              <c:strCache>
                <c:ptCount val="1"/>
                <c:pt idx="0">
                  <c:v>tailoring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'06_Pivot_Tables'!$F$18:$F$19</c:f>
              <c:strCache>
                <c:ptCount val="1"/>
                <c:pt idx="0">
                  <c:v>Kano</c:v>
                </c:pt>
              </c:strCache>
            </c:strRef>
          </c:cat>
          <c:val>
            <c:numRef>
              <c:f>'06_Pivot_Tables'!$J$18:$J$19</c:f>
              <c:numCache>
                <c:formatCode>General</c:formatCode>
                <c:ptCount val="1"/>
                <c:pt idx="0">
                  <c:v>11</c:v>
                </c:pt>
              </c:numCache>
            </c:numRef>
          </c:val>
          <c:extLst>
            <c:ext xmlns:c16="http://schemas.microsoft.com/office/drawing/2014/chart" uri="{C3380CC4-5D6E-409C-BE32-E72D297353CC}">
              <c16:uniqueId val="{00000003-B220-4C2C-84D8-6E096B09FC01}"/>
            </c:ext>
          </c:extLst>
        </c:ser>
        <c:dLbls>
          <c:dLblPos val="outEnd"/>
          <c:showLegendKey val="0"/>
          <c:showVal val="1"/>
          <c:showCatName val="0"/>
          <c:showSerName val="0"/>
          <c:showPercent val="0"/>
          <c:showBubbleSize val="0"/>
        </c:dLbls>
        <c:gapWidth val="182"/>
        <c:axId val="772778639"/>
        <c:axId val="772779119"/>
      </c:barChart>
      <c:catAx>
        <c:axId val="77277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72779119"/>
        <c:crosses val="autoZero"/>
        <c:auto val="1"/>
        <c:lblAlgn val="ctr"/>
        <c:lblOffset val="100"/>
        <c:noMultiLvlLbl val="0"/>
      </c:catAx>
      <c:valAx>
        <c:axId val="772779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727786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38100" sx="102000" sy="102000" algn="ctr" rotWithShape="0">
        <a:schemeClr val="bg1">
          <a:lumMod val="65000"/>
          <a:alpha val="50000"/>
        </a:schemeClr>
      </a:outerShdw>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513470</xdr:colOff>
      <xdr:row>37</xdr:row>
      <xdr:rowOff>77373</xdr:rowOff>
    </xdr:to>
    <xdr:sp macro="" textlink="">
      <xdr:nvSpPr>
        <xdr:cNvPr id="2" name="Rectangle 1">
          <a:extLst>
            <a:ext uri="{FF2B5EF4-FFF2-40B4-BE49-F238E27FC236}">
              <a16:creationId xmlns:a16="http://schemas.microsoft.com/office/drawing/2014/main" id="{57CD1B73-38DF-BE58-3D43-405AE7023E6C}"/>
            </a:ext>
          </a:extLst>
        </xdr:cNvPr>
        <xdr:cNvSpPr/>
      </xdr:nvSpPr>
      <xdr:spPr>
        <a:xfrm>
          <a:off x="0" y="0"/>
          <a:ext cx="13512018" cy="6843933"/>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147711</xdr:colOff>
      <xdr:row>0</xdr:row>
      <xdr:rowOff>28137</xdr:rowOff>
    </xdr:from>
    <xdr:to>
      <xdr:col>15</xdr:col>
      <xdr:colOff>49237</xdr:colOff>
      <xdr:row>3</xdr:row>
      <xdr:rowOff>154745</xdr:rowOff>
    </xdr:to>
    <xdr:sp macro="" textlink="">
      <xdr:nvSpPr>
        <xdr:cNvPr id="3" name="TextBox 2">
          <a:extLst>
            <a:ext uri="{FF2B5EF4-FFF2-40B4-BE49-F238E27FC236}">
              <a16:creationId xmlns:a16="http://schemas.microsoft.com/office/drawing/2014/main" id="{435F8B60-84D4-168F-AB59-4731EEE13D5E}"/>
            </a:ext>
          </a:extLst>
        </xdr:cNvPr>
        <xdr:cNvSpPr txBox="1"/>
      </xdr:nvSpPr>
      <xdr:spPr>
        <a:xfrm>
          <a:off x="3242603" y="28137"/>
          <a:ext cx="6091311" cy="675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TVET PROGRAMME IMPACT ASSESSMENT DASHBOARD</a:t>
          </a:r>
        </a:p>
        <a:p>
          <a:pPr algn="ctr"/>
          <a:r>
            <a:rPr lang="en-US" sz="1400">
              <a:solidFill>
                <a:schemeClr val="bg1"/>
              </a:solidFill>
            </a:rPr>
            <a:t>Technical and Vocational Education and Training (TVET)</a:t>
          </a:r>
        </a:p>
        <a:p>
          <a:pPr algn="ctr"/>
          <a:endParaRPr lang="en-US" sz="1100">
            <a:solidFill>
              <a:schemeClr val="bg1"/>
            </a:solidFill>
          </a:endParaRPr>
        </a:p>
      </xdr:txBody>
    </xdr:sp>
    <xdr:clientData/>
  </xdr:twoCellAnchor>
  <xdr:twoCellAnchor>
    <xdr:from>
      <xdr:col>0</xdr:col>
      <xdr:colOff>119578</xdr:colOff>
      <xdr:row>13</xdr:row>
      <xdr:rowOff>28134</xdr:rowOff>
    </xdr:from>
    <xdr:to>
      <xdr:col>3</xdr:col>
      <xdr:colOff>464234</xdr:colOff>
      <xdr:row>23</xdr:row>
      <xdr:rowOff>70337</xdr:rowOff>
    </xdr:to>
    <xdr:graphicFrame macro="">
      <xdr:nvGraphicFramePr>
        <xdr:cNvPr id="4" name="Chart 3">
          <a:extLst>
            <a:ext uri="{FF2B5EF4-FFF2-40B4-BE49-F238E27FC236}">
              <a16:creationId xmlns:a16="http://schemas.microsoft.com/office/drawing/2014/main" id="{126EB986-14B9-4F9B-BDF8-A31D926C8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253223</xdr:colOff>
      <xdr:row>24</xdr:row>
      <xdr:rowOff>35169</xdr:rowOff>
    </xdr:from>
    <xdr:to>
      <xdr:col>10</xdr:col>
      <xdr:colOff>323558</xdr:colOff>
      <xdr:row>34</xdr:row>
      <xdr:rowOff>94956</xdr:rowOff>
    </xdr:to>
    <xdr:graphicFrame macro="">
      <xdr:nvGraphicFramePr>
        <xdr:cNvPr id="5" name="Chart 4">
          <a:extLst>
            <a:ext uri="{FF2B5EF4-FFF2-40B4-BE49-F238E27FC236}">
              <a16:creationId xmlns:a16="http://schemas.microsoft.com/office/drawing/2014/main" id="{05A82817-1B41-41A7-8C89-3846F6A90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28137</xdr:colOff>
      <xdr:row>10</xdr:row>
      <xdr:rowOff>28135</xdr:rowOff>
    </xdr:from>
    <xdr:to>
      <xdr:col>21</xdr:col>
      <xdr:colOff>182880</xdr:colOff>
      <xdr:row>34</xdr:row>
      <xdr:rowOff>126609</xdr:rowOff>
    </xdr:to>
    <xdr:graphicFrame macro="">
      <xdr:nvGraphicFramePr>
        <xdr:cNvPr id="6" name="Chart 5">
          <a:extLst>
            <a:ext uri="{FF2B5EF4-FFF2-40B4-BE49-F238E27FC236}">
              <a16:creationId xmlns:a16="http://schemas.microsoft.com/office/drawing/2014/main" id="{6C63039B-E98A-4494-AE57-8F11E04F6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140678</xdr:colOff>
      <xdr:row>13</xdr:row>
      <xdr:rowOff>35168</xdr:rowOff>
    </xdr:from>
    <xdr:to>
      <xdr:col>15</xdr:col>
      <xdr:colOff>492370</xdr:colOff>
      <xdr:row>23</xdr:row>
      <xdr:rowOff>63306</xdr:rowOff>
    </xdr:to>
    <xdr:graphicFrame macro="">
      <xdr:nvGraphicFramePr>
        <xdr:cNvPr id="7" name="Chart 6">
          <a:extLst>
            <a:ext uri="{FF2B5EF4-FFF2-40B4-BE49-F238E27FC236}">
              <a16:creationId xmlns:a16="http://schemas.microsoft.com/office/drawing/2014/main" id="{5F28E12B-8926-4A9C-A186-88F29D2D4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119577</xdr:colOff>
      <xdr:row>24</xdr:row>
      <xdr:rowOff>21102</xdr:rowOff>
    </xdr:from>
    <xdr:to>
      <xdr:col>5</xdr:col>
      <xdr:colOff>101993</xdr:colOff>
      <xdr:row>34</xdr:row>
      <xdr:rowOff>101988</xdr:rowOff>
    </xdr:to>
    <xdr:graphicFrame macro="">
      <xdr:nvGraphicFramePr>
        <xdr:cNvPr id="8" name="Chart 7">
          <a:extLst>
            <a:ext uri="{FF2B5EF4-FFF2-40B4-BE49-F238E27FC236}">
              <a16:creationId xmlns:a16="http://schemas.microsoft.com/office/drawing/2014/main" id="{E67E6BBF-E25D-44C5-9B3E-E089CD27A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478304</xdr:colOff>
      <xdr:row>24</xdr:row>
      <xdr:rowOff>28135</xdr:rowOff>
    </xdr:from>
    <xdr:to>
      <xdr:col>15</xdr:col>
      <xdr:colOff>446652</xdr:colOff>
      <xdr:row>34</xdr:row>
      <xdr:rowOff>105508</xdr:rowOff>
    </xdr:to>
    <xdr:graphicFrame macro="">
      <xdr:nvGraphicFramePr>
        <xdr:cNvPr id="9" name="Chart 8">
          <a:extLst>
            <a:ext uri="{FF2B5EF4-FFF2-40B4-BE49-F238E27FC236}">
              <a16:creationId xmlns:a16="http://schemas.microsoft.com/office/drawing/2014/main" id="{3AF75265-2C91-4029-9704-130E0A8C0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590847</xdr:colOff>
      <xdr:row>13</xdr:row>
      <xdr:rowOff>42204</xdr:rowOff>
    </xdr:from>
    <xdr:to>
      <xdr:col>11</xdr:col>
      <xdr:colOff>611944</xdr:colOff>
      <xdr:row>23</xdr:row>
      <xdr:rowOff>84407</xdr:rowOff>
    </xdr:to>
    <xdr:graphicFrame macro="">
      <xdr:nvGraphicFramePr>
        <xdr:cNvPr id="10" name="Chart 9">
          <a:extLst>
            <a:ext uri="{FF2B5EF4-FFF2-40B4-BE49-F238E27FC236}">
              <a16:creationId xmlns:a16="http://schemas.microsoft.com/office/drawing/2014/main" id="{E082AC29-9939-4379-BD96-7A4148254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243840</xdr:colOff>
      <xdr:row>6</xdr:row>
      <xdr:rowOff>60961</xdr:rowOff>
    </xdr:from>
    <xdr:to>
      <xdr:col>7</xdr:col>
      <xdr:colOff>581465</xdr:colOff>
      <xdr:row>12</xdr:row>
      <xdr:rowOff>53928</xdr:rowOff>
    </xdr:to>
    <xdr:sp macro="" textlink="">
      <xdr:nvSpPr>
        <xdr:cNvPr id="20" name="Rectangle: Rounded Corners 19">
          <a:extLst>
            <a:ext uri="{FF2B5EF4-FFF2-40B4-BE49-F238E27FC236}">
              <a16:creationId xmlns:a16="http://schemas.microsoft.com/office/drawing/2014/main" id="{8A956524-9ACF-4954-B2E4-F6B8F9240B8F}"/>
            </a:ext>
          </a:extLst>
        </xdr:cNvPr>
        <xdr:cNvSpPr/>
      </xdr:nvSpPr>
      <xdr:spPr>
        <a:xfrm>
          <a:off x="2719754" y="1158241"/>
          <a:ext cx="2194560" cy="1090247"/>
        </a:xfrm>
        <a:prstGeom prst="roundRect">
          <a:avLst/>
        </a:prstGeom>
        <a:solidFill>
          <a:schemeClr val="accent1"/>
        </a:solidFill>
        <a:ln w="3175">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332936</xdr:colOff>
      <xdr:row>6</xdr:row>
      <xdr:rowOff>37515</xdr:rowOff>
    </xdr:from>
    <xdr:to>
      <xdr:col>4</xdr:col>
      <xdr:colOff>51582</xdr:colOff>
      <xdr:row>12</xdr:row>
      <xdr:rowOff>30482</xdr:rowOff>
    </xdr:to>
    <xdr:sp macro="" textlink="">
      <xdr:nvSpPr>
        <xdr:cNvPr id="24" name="Rectangle: Rounded Corners 23">
          <a:extLst>
            <a:ext uri="{FF2B5EF4-FFF2-40B4-BE49-F238E27FC236}">
              <a16:creationId xmlns:a16="http://schemas.microsoft.com/office/drawing/2014/main" id="{4919981C-A64D-4828-8A74-3C8D46702AD3}"/>
            </a:ext>
          </a:extLst>
        </xdr:cNvPr>
        <xdr:cNvSpPr/>
      </xdr:nvSpPr>
      <xdr:spPr>
        <a:xfrm>
          <a:off x="332936" y="1134795"/>
          <a:ext cx="2194560" cy="1090247"/>
        </a:xfrm>
        <a:prstGeom prst="roundRect">
          <a:avLst/>
        </a:prstGeom>
        <a:solidFill>
          <a:schemeClr val="accent1"/>
        </a:solidFill>
        <a:ln w="3175">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436098</xdr:colOff>
      <xdr:row>6</xdr:row>
      <xdr:rowOff>49236</xdr:rowOff>
    </xdr:from>
    <xdr:to>
      <xdr:col>3</xdr:col>
      <xdr:colOff>576776</xdr:colOff>
      <xdr:row>12</xdr:row>
      <xdr:rowOff>7033</xdr:rowOff>
    </xdr:to>
    <xdr:sp macro="" textlink="">
      <xdr:nvSpPr>
        <xdr:cNvPr id="11" name="Rectangle: Rounded Corners 10">
          <a:extLst>
            <a:ext uri="{FF2B5EF4-FFF2-40B4-BE49-F238E27FC236}">
              <a16:creationId xmlns:a16="http://schemas.microsoft.com/office/drawing/2014/main" id="{BF938D4E-2112-3406-B9A7-FBDB7754DDFE}"/>
            </a:ext>
          </a:extLst>
        </xdr:cNvPr>
        <xdr:cNvSpPr/>
      </xdr:nvSpPr>
      <xdr:spPr>
        <a:xfrm>
          <a:off x="436098" y="1146516"/>
          <a:ext cx="1997613" cy="1055077"/>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203981</xdr:colOff>
      <xdr:row>6</xdr:row>
      <xdr:rowOff>105507</xdr:rowOff>
    </xdr:from>
    <xdr:to>
      <xdr:col>7</xdr:col>
      <xdr:colOff>541606</xdr:colOff>
      <xdr:row>12</xdr:row>
      <xdr:rowOff>98474</xdr:rowOff>
    </xdr:to>
    <xdr:sp macro="" textlink="">
      <xdr:nvSpPr>
        <xdr:cNvPr id="12" name="Rectangle: Rounded Corners 11">
          <a:extLst>
            <a:ext uri="{FF2B5EF4-FFF2-40B4-BE49-F238E27FC236}">
              <a16:creationId xmlns:a16="http://schemas.microsoft.com/office/drawing/2014/main" id="{656ECE41-B20D-CB00-E89E-129A644383E2}"/>
            </a:ext>
          </a:extLst>
        </xdr:cNvPr>
        <xdr:cNvSpPr/>
      </xdr:nvSpPr>
      <xdr:spPr>
        <a:xfrm>
          <a:off x="2679895" y="1202787"/>
          <a:ext cx="2194560" cy="1090247"/>
        </a:xfrm>
        <a:prstGeom prst="roundRect">
          <a:avLst/>
        </a:prstGeom>
        <a:solidFill>
          <a:schemeClr val="accent1">
            <a:lumMod val="50000"/>
          </a:schemeClr>
        </a:solidFill>
        <a:ln w="3175">
          <a:solidFill>
            <a:schemeClr val="accent1">
              <a:lumMod val="20000"/>
              <a:lumOff val="80000"/>
            </a:schemeClr>
          </a:solidFill>
        </a:ln>
        <a:effectLst>
          <a:outerShdw blurRad="63500" sx="102000" sy="102000" algn="ctr" rotWithShape="0">
            <a:schemeClr val="accent1">
              <a:lumMod val="40000"/>
              <a:lumOff val="6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286044</xdr:colOff>
      <xdr:row>6</xdr:row>
      <xdr:rowOff>67993</xdr:rowOff>
    </xdr:from>
    <xdr:to>
      <xdr:col>4</xdr:col>
      <xdr:colOff>4690</xdr:colOff>
      <xdr:row>12</xdr:row>
      <xdr:rowOff>60960</xdr:rowOff>
    </xdr:to>
    <xdr:sp macro="" textlink="">
      <xdr:nvSpPr>
        <xdr:cNvPr id="13" name="Rectangle: Rounded Corners 12">
          <a:extLst>
            <a:ext uri="{FF2B5EF4-FFF2-40B4-BE49-F238E27FC236}">
              <a16:creationId xmlns:a16="http://schemas.microsoft.com/office/drawing/2014/main" id="{EB8E8567-7FFD-40B1-A41C-F1F6FADCD459}"/>
            </a:ext>
          </a:extLst>
        </xdr:cNvPr>
        <xdr:cNvSpPr/>
      </xdr:nvSpPr>
      <xdr:spPr>
        <a:xfrm>
          <a:off x="286044" y="1165273"/>
          <a:ext cx="2194560" cy="1090247"/>
        </a:xfrm>
        <a:prstGeom prst="roundRect">
          <a:avLst/>
        </a:prstGeom>
        <a:solidFill>
          <a:schemeClr val="accent1">
            <a:lumMod val="50000"/>
          </a:schemeClr>
        </a:solidFill>
        <a:ln w="3175">
          <a:solidFill>
            <a:schemeClr val="accent1">
              <a:lumMod val="20000"/>
              <a:lumOff val="80000"/>
            </a:schemeClr>
          </a:solidFill>
        </a:ln>
        <a:effectLst>
          <a:outerShdw blurRad="63500" sx="102000" sy="102000" algn="ctr" rotWithShape="0">
            <a:schemeClr val="accent1">
              <a:lumMod val="40000"/>
              <a:lumOff val="6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213360</xdr:colOff>
      <xdr:row>6</xdr:row>
      <xdr:rowOff>79718</xdr:rowOff>
    </xdr:from>
    <xdr:to>
      <xdr:col>11</xdr:col>
      <xdr:colOff>550985</xdr:colOff>
      <xdr:row>12</xdr:row>
      <xdr:rowOff>72685</xdr:rowOff>
    </xdr:to>
    <xdr:sp macro="" textlink="">
      <xdr:nvSpPr>
        <xdr:cNvPr id="21" name="Rectangle: Rounded Corners 20">
          <a:extLst>
            <a:ext uri="{FF2B5EF4-FFF2-40B4-BE49-F238E27FC236}">
              <a16:creationId xmlns:a16="http://schemas.microsoft.com/office/drawing/2014/main" id="{8DF86D43-E140-425C-94D2-105E91D0495B}"/>
            </a:ext>
          </a:extLst>
        </xdr:cNvPr>
        <xdr:cNvSpPr/>
      </xdr:nvSpPr>
      <xdr:spPr>
        <a:xfrm>
          <a:off x="5165188" y="1176998"/>
          <a:ext cx="2194560" cy="1090247"/>
        </a:xfrm>
        <a:prstGeom prst="roundRect">
          <a:avLst/>
        </a:prstGeom>
        <a:solidFill>
          <a:schemeClr val="accent1"/>
        </a:solidFill>
        <a:ln w="3175">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147711</xdr:colOff>
      <xdr:row>6</xdr:row>
      <xdr:rowOff>63306</xdr:rowOff>
    </xdr:from>
    <xdr:to>
      <xdr:col>15</xdr:col>
      <xdr:colOff>485336</xdr:colOff>
      <xdr:row>12</xdr:row>
      <xdr:rowOff>56273</xdr:rowOff>
    </xdr:to>
    <xdr:sp macro="" textlink="">
      <xdr:nvSpPr>
        <xdr:cNvPr id="22" name="Rectangle: Rounded Corners 21">
          <a:extLst>
            <a:ext uri="{FF2B5EF4-FFF2-40B4-BE49-F238E27FC236}">
              <a16:creationId xmlns:a16="http://schemas.microsoft.com/office/drawing/2014/main" id="{92B63E33-B690-4A2B-B129-6F5816DDE61B}"/>
            </a:ext>
          </a:extLst>
        </xdr:cNvPr>
        <xdr:cNvSpPr/>
      </xdr:nvSpPr>
      <xdr:spPr>
        <a:xfrm>
          <a:off x="7575453" y="1160586"/>
          <a:ext cx="2194560" cy="1090247"/>
        </a:xfrm>
        <a:prstGeom prst="roundRect">
          <a:avLst/>
        </a:prstGeom>
        <a:solidFill>
          <a:schemeClr val="accent1"/>
        </a:solidFill>
        <a:ln w="3175">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164124</xdr:colOff>
      <xdr:row>6</xdr:row>
      <xdr:rowOff>107852</xdr:rowOff>
    </xdr:from>
    <xdr:to>
      <xdr:col>11</xdr:col>
      <xdr:colOff>501749</xdr:colOff>
      <xdr:row>12</xdr:row>
      <xdr:rowOff>100819</xdr:rowOff>
    </xdr:to>
    <xdr:sp macro="" textlink="">
      <xdr:nvSpPr>
        <xdr:cNvPr id="14" name="Rectangle: Rounded Corners 13">
          <a:extLst>
            <a:ext uri="{FF2B5EF4-FFF2-40B4-BE49-F238E27FC236}">
              <a16:creationId xmlns:a16="http://schemas.microsoft.com/office/drawing/2014/main" id="{9DC75580-7D7E-47E3-8355-6938A39D496A}"/>
            </a:ext>
          </a:extLst>
        </xdr:cNvPr>
        <xdr:cNvSpPr/>
      </xdr:nvSpPr>
      <xdr:spPr>
        <a:xfrm>
          <a:off x="5115952" y="1205132"/>
          <a:ext cx="2194560" cy="1090247"/>
        </a:xfrm>
        <a:prstGeom prst="roundRect">
          <a:avLst/>
        </a:prstGeom>
        <a:solidFill>
          <a:schemeClr val="accent1">
            <a:lumMod val="50000"/>
          </a:schemeClr>
        </a:solidFill>
        <a:ln w="3175">
          <a:solidFill>
            <a:schemeClr val="accent1">
              <a:lumMod val="20000"/>
              <a:lumOff val="80000"/>
            </a:schemeClr>
          </a:solidFill>
        </a:ln>
        <a:effectLst>
          <a:outerShdw blurRad="63500" sx="102000" sy="102000" algn="ctr" rotWithShape="0">
            <a:schemeClr val="accent1">
              <a:lumMod val="40000"/>
              <a:lumOff val="6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112542</xdr:colOff>
      <xdr:row>6</xdr:row>
      <xdr:rowOff>98474</xdr:rowOff>
    </xdr:from>
    <xdr:to>
      <xdr:col>15</xdr:col>
      <xdr:colOff>450167</xdr:colOff>
      <xdr:row>12</xdr:row>
      <xdr:rowOff>91441</xdr:rowOff>
    </xdr:to>
    <xdr:sp macro="" textlink="">
      <xdr:nvSpPr>
        <xdr:cNvPr id="15" name="Rectangle: Rounded Corners 14">
          <a:extLst>
            <a:ext uri="{FF2B5EF4-FFF2-40B4-BE49-F238E27FC236}">
              <a16:creationId xmlns:a16="http://schemas.microsoft.com/office/drawing/2014/main" id="{44EF08A8-E261-42A3-9D53-C0F7EBD7D23E}"/>
            </a:ext>
          </a:extLst>
        </xdr:cNvPr>
        <xdr:cNvSpPr/>
      </xdr:nvSpPr>
      <xdr:spPr>
        <a:xfrm>
          <a:off x="7540284" y="1195754"/>
          <a:ext cx="2194560" cy="1090247"/>
        </a:xfrm>
        <a:prstGeom prst="roundRect">
          <a:avLst/>
        </a:prstGeom>
        <a:solidFill>
          <a:schemeClr val="accent1">
            <a:lumMod val="50000"/>
          </a:schemeClr>
        </a:solidFill>
        <a:ln w="3175">
          <a:solidFill>
            <a:schemeClr val="accent1">
              <a:lumMod val="20000"/>
              <a:lumOff val="80000"/>
            </a:schemeClr>
          </a:solidFill>
        </a:ln>
        <a:effectLst>
          <a:outerShdw blurRad="63500" sx="102000" sy="102000" algn="ctr" rotWithShape="0">
            <a:schemeClr val="accent1">
              <a:lumMod val="40000"/>
              <a:lumOff val="6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337625</xdr:colOff>
      <xdr:row>6</xdr:row>
      <xdr:rowOff>140679</xdr:rowOff>
    </xdr:from>
    <xdr:to>
      <xdr:col>3</xdr:col>
      <xdr:colOff>583809</xdr:colOff>
      <xdr:row>12</xdr:row>
      <xdr:rowOff>7035</xdr:rowOff>
    </xdr:to>
    <xdr:sp macro="" textlink="">
      <xdr:nvSpPr>
        <xdr:cNvPr id="16" name="TextBox 15">
          <a:extLst>
            <a:ext uri="{FF2B5EF4-FFF2-40B4-BE49-F238E27FC236}">
              <a16:creationId xmlns:a16="http://schemas.microsoft.com/office/drawing/2014/main" id="{1C7263CF-29DF-66EB-1CDA-0B205623FBDD}"/>
            </a:ext>
          </a:extLst>
        </xdr:cNvPr>
        <xdr:cNvSpPr txBox="1"/>
      </xdr:nvSpPr>
      <xdr:spPr>
        <a:xfrm>
          <a:off x="337625" y="1237959"/>
          <a:ext cx="2103119" cy="96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solidFill>
            </a:rPr>
            <a:t>Total Respondents</a:t>
          </a:r>
        </a:p>
        <a:p>
          <a:pPr algn="ctr"/>
          <a:r>
            <a:rPr lang="en-US" sz="3600" b="1">
              <a:solidFill>
                <a:schemeClr val="bg1"/>
              </a:solidFill>
            </a:rPr>
            <a:t>54</a:t>
          </a:r>
          <a:endParaRPr lang="en-US" sz="900" b="1">
            <a:solidFill>
              <a:schemeClr val="bg1"/>
            </a:solidFill>
          </a:endParaRPr>
        </a:p>
      </xdr:txBody>
    </xdr:sp>
    <xdr:clientData/>
  </xdr:twoCellAnchor>
  <xdr:twoCellAnchor>
    <xdr:from>
      <xdr:col>4</xdr:col>
      <xdr:colOff>250875</xdr:colOff>
      <xdr:row>6</xdr:row>
      <xdr:rowOff>173503</xdr:rowOff>
    </xdr:from>
    <xdr:to>
      <xdr:col>7</xdr:col>
      <xdr:colOff>497059</xdr:colOff>
      <xdr:row>12</xdr:row>
      <xdr:rowOff>39859</xdr:rowOff>
    </xdr:to>
    <xdr:sp macro="" textlink="">
      <xdr:nvSpPr>
        <xdr:cNvPr id="17" name="TextBox 16">
          <a:extLst>
            <a:ext uri="{FF2B5EF4-FFF2-40B4-BE49-F238E27FC236}">
              <a16:creationId xmlns:a16="http://schemas.microsoft.com/office/drawing/2014/main" id="{46E37A9B-348A-4BAB-A2F9-620E216C7F8D}"/>
            </a:ext>
          </a:extLst>
        </xdr:cNvPr>
        <xdr:cNvSpPr txBox="1"/>
      </xdr:nvSpPr>
      <xdr:spPr>
        <a:xfrm>
          <a:off x="2726789" y="1270783"/>
          <a:ext cx="2103119" cy="96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solidFill>
            </a:rPr>
            <a:t>Male</a:t>
          </a:r>
        </a:p>
        <a:p>
          <a:pPr algn="ctr"/>
          <a:r>
            <a:rPr lang="en-US" sz="3200" b="1">
              <a:solidFill>
                <a:schemeClr val="bg1"/>
              </a:solidFill>
            </a:rPr>
            <a:t>55.56%</a:t>
          </a:r>
          <a:endParaRPr lang="en-US" sz="1200" b="1">
            <a:solidFill>
              <a:schemeClr val="bg1"/>
            </a:solidFill>
          </a:endParaRPr>
        </a:p>
      </xdr:txBody>
    </xdr:sp>
    <xdr:clientData/>
  </xdr:twoCellAnchor>
  <xdr:twoCellAnchor>
    <xdr:from>
      <xdr:col>8</xdr:col>
      <xdr:colOff>185225</xdr:colOff>
      <xdr:row>6</xdr:row>
      <xdr:rowOff>178192</xdr:rowOff>
    </xdr:from>
    <xdr:to>
      <xdr:col>11</xdr:col>
      <xdr:colOff>431409</xdr:colOff>
      <xdr:row>12</xdr:row>
      <xdr:rowOff>44548</xdr:rowOff>
    </xdr:to>
    <xdr:sp macro="" textlink="">
      <xdr:nvSpPr>
        <xdr:cNvPr id="18" name="TextBox 17">
          <a:extLst>
            <a:ext uri="{FF2B5EF4-FFF2-40B4-BE49-F238E27FC236}">
              <a16:creationId xmlns:a16="http://schemas.microsoft.com/office/drawing/2014/main" id="{8C584B9D-61C5-459E-8F9F-6CC898CEE8C7}"/>
            </a:ext>
          </a:extLst>
        </xdr:cNvPr>
        <xdr:cNvSpPr txBox="1"/>
      </xdr:nvSpPr>
      <xdr:spPr>
        <a:xfrm>
          <a:off x="5137053" y="1275472"/>
          <a:ext cx="2103119" cy="96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solidFill>
            </a:rPr>
            <a:t>Female</a:t>
          </a:r>
        </a:p>
        <a:p>
          <a:pPr algn="ctr"/>
          <a:r>
            <a:rPr lang="en-US" sz="3200" b="1">
              <a:solidFill>
                <a:schemeClr val="bg1"/>
              </a:solidFill>
            </a:rPr>
            <a:t>44.44%</a:t>
          </a:r>
          <a:endParaRPr lang="en-US" sz="2000" b="1">
            <a:solidFill>
              <a:schemeClr val="bg1"/>
            </a:solidFill>
          </a:endParaRPr>
        </a:p>
      </xdr:txBody>
    </xdr:sp>
    <xdr:clientData/>
  </xdr:twoCellAnchor>
  <xdr:twoCellAnchor>
    <xdr:from>
      <xdr:col>12</xdr:col>
      <xdr:colOff>105508</xdr:colOff>
      <xdr:row>6</xdr:row>
      <xdr:rowOff>133644</xdr:rowOff>
    </xdr:from>
    <xdr:to>
      <xdr:col>15</xdr:col>
      <xdr:colOff>351692</xdr:colOff>
      <xdr:row>12</xdr:row>
      <xdr:rowOff>0</xdr:rowOff>
    </xdr:to>
    <xdr:sp macro="" textlink="">
      <xdr:nvSpPr>
        <xdr:cNvPr id="19" name="TextBox 18">
          <a:extLst>
            <a:ext uri="{FF2B5EF4-FFF2-40B4-BE49-F238E27FC236}">
              <a16:creationId xmlns:a16="http://schemas.microsoft.com/office/drawing/2014/main" id="{700DAC12-8C81-42AA-954A-F8601A914547}"/>
            </a:ext>
          </a:extLst>
        </xdr:cNvPr>
        <xdr:cNvSpPr txBox="1"/>
      </xdr:nvSpPr>
      <xdr:spPr>
        <a:xfrm>
          <a:off x="7533250" y="1230924"/>
          <a:ext cx="2103119" cy="96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1"/>
              </a:solidFill>
            </a:rPr>
            <a:t>Employment Rate</a:t>
          </a:r>
        </a:p>
        <a:p>
          <a:pPr algn="ctr"/>
          <a:r>
            <a:rPr lang="en-US" sz="3200" b="1">
              <a:solidFill>
                <a:schemeClr val="bg1"/>
              </a:solidFill>
            </a:rPr>
            <a:t>70%</a:t>
          </a:r>
          <a:endParaRPr lang="en-US" sz="3600" b="1">
            <a:solidFill>
              <a:schemeClr val="bg1"/>
            </a:solidFill>
          </a:endParaRPr>
        </a:p>
      </xdr:txBody>
    </xdr:sp>
    <xdr:clientData/>
  </xdr:twoCellAnchor>
  <xdr:twoCellAnchor editAs="oneCell">
    <xdr:from>
      <xdr:col>15</xdr:col>
      <xdr:colOff>597881</xdr:colOff>
      <xdr:row>2</xdr:row>
      <xdr:rowOff>168813</xdr:rowOff>
    </xdr:from>
    <xdr:to>
      <xdr:col>21</xdr:col>
      <xdr:colOff>196948</xdr:colOff>
      <xdr:row>5</xdr:row>
      <xdr:rowOff>168813</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99105830-45BF-4694-8ED3-DC734AAF03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82558" y="534573"/>
              <a:ext cx="3312938"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91442</xdr:colOff>
      <xdr:row>2</xdr:row>
      <xdr:rowOff>168813</xdr:rowOff>
    </xdr:from>
    <xdr:to>
      <xdr:col>5</xdr:col>
      <xdr:colOff>295421</xdr:colOff>
      <xdr:row>5</xdr:row>
      <xdr:rowOff>175847</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ECA370C4-35BF-400B-AB89-A3B95B4DC8A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1442" y="534573"/>
              <a:ext cx="3298871" cy="555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611945</xdr:colOff>
      <xdr:row>6</xdr:row>
      <xdr:rowOff>56272</xdr:rowOff>
    </xdr:from>
    <xdr:to>
      <xdr:col>21</xdr:col>
      <xdr:colOff>211015</xdr:colOff>
      <xdr:row>9</xdr:row>
      <xdr:rowOff>77373</xdr:rowOff>
    </xdr:to>
    <mc:AlternateContent xmlns:mc="http://schemas.openxmlformats.org/markup-compatibility/2006" xmlns:a14="http://schemas.microsoft.com/office/drawing/2010/main">
      <mc:Choice Requires="a14">
        <xdr:graphicFrame macro="">
          <xdr:nvGraphicFramePr>
            <xdr:cNvPr id="27" name="Trade Completed">
              <a:extLst>
                <a:ext uri="{FF2B5EF4-FFF2-40B4-BE49-F238E27FC236}">
                  <a16:creationId xmlns:a16="http://schemas.microsoft.com/office/drawing/2014/main" id="{3414900C-2FB8-4256-9CDA-0E4543164C2C}"/>
                </a:ext>
              </a:extLst>
            </xdr:cNvPr>
            <xdr:cNvGraphicFramePr/>
          </xdr:nvGraphicFramePr>
          <xdr:xfrm>
            <a:off x="0" y="0"/>
            <a:ext cx="0" cy="0"/>
          </xdr:xfrm>
          <a:graphic>
            <a:graphicData uri="http://schemas.microsoft.com/office/drawing/2010/slicer">
              <sle:slicer xmlns:sle="http://schemas.microsoft.com/office/drawing/2010/slicer" name="Trade Completed"/>
            </a:graphicData>
          </a:graphic>
        </xdr:graphicFrame>
      </mc:Choice>
      <mc:Fallback xmlns="">
        <xdr:sp macro="" textlink="">
          <xdr:nvSpPr>
            <xdr:cNvPr id="0" name=""/>
            <xdr:cNvSpPr>
              <a:spLocks noTextEdit="1"/>
            </xdr:cNvSpPr>
          </xdr:nvSpPr>
          <xdr:spPr>
            <a:xfrm>
              <a:off x="9896622" y="1153552"/>
              <a:ext cx="3312941" cy="569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393896</xdr:colOff>
      <xdr:row>3</xdr:row>
      <xdr:rowOff>35168</xdr:rowOff>
    </xdr:from>
    <xdr:to>
      <xdr:col>11</xdr:col>
      <xdr:colOff>436099</xdr:colOff>
      <xdr:row>6</xdr:row>
      <xdr:rowOff>168812</xdr:rowOff>
    </xdr:to>
    <xdr:sp macro="" textlink="">
      <xdr:nvSpPr>
        <xdr:cNvPr id="28" name="TextBox 27">
          <a:extLst>
            <a:ext uri="{FF2B5EF4-FFF2-40B4-BE49-F238E27FC236}">
              <a16:creationId xmlns:a16="http://schemas.microsoft.com/office/drawing/2014/main" id="{B34AA0AC-5696-DD40-3D71-79A9B7F4B58D}"/>
            </a:ext>
          </a:extLst>
        </xdr:cNvPr>
        <xdr:cNvSpPr txBox="1"/>
      </xdr:nvSpPr>
      <xdr:spPr>
        <a:xfrm>
          <a:off x="5345724" y="583808"/>
          <a:ext cx="1899138" cy="68228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effectLst/>
              <a:latin typeface="+mn-lt"/>
              <a:ea typeface="+mn-ea"/>
              <a:cs typeface="+mn-cs"/>
            </a:rPr>
            <a:t>Prepared by</a:t>
          </a:r>
          <a:endParaRPr lang="en-US">
            <a:solidFill>
              <a:schemeClr val="bg1"/>
            </a:solidFill>
            <a:effectLst/>
          </a:endParaRPr>
        </a:p>
        <a:p>
          <a:pPr algn="ctr"/>
          <a:r>
            <a:rPr lang="en-US" sz="1100">
              <a:solidFill>
                <a:schemeClr val="bg1"/>
              </a:solidFill>
              <a:effectLst/>
              <a:latin typeface="+mn-lt"/>
              <a:ea typeface="+mn-ea"/>
              <a:cs typeface="+mn-cs"/>
            </a:rPr>
            <a:t>Umar Musa Isah</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Data Analytics Bootcamp 5.0</a:t>
          </a:r>
          <a:endParaRPr lang="en-US">
            <a:solidFill>
              <a:schemeClr val="bg1"/>
            </a:solidFill>
            <a:effectLst/>
          </a:endParaRPr>
        </a:p>
        <a:p>
          <a:pPr algn="ct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r musa isah" refreshedDate="46231.692038773152" createdVersion="8" refreshedVersion="8" minRefreshableVersion="3" recordCount="54" xr:uid="{074E9740-8467-4782-A76B-9D4F5B6BFA59}">
  <cacheSource type="worksheet">
    <worksheetSource ref="A1:AO55" sheet="01_Cleaned_Data"/>
  </cacheSource>
  <cacheFields count="41">
    <cacheField name="Interview Date" numFmtId="14">
      <sharedItems containsSemiMixedTypes="0" containsNonDate="0" containsDate="1" containsString="0" minDate="2026-01-01T00:00:00" maxDate="2026-07-26T00:00:00" count="5">
        <d v="2026-07-25T00:00:00"/>
        <d v="2026-01-01T00:00:00"/>
        <d v="2026-01-03T00:00:00"/>
        <d v="2026-01-08T00:00:00"/>
        <d v="2026-01-02T00:00:00"/>
      </sharedItems>
    </cacheField>
    <cacheField name="Respondent ID" numFmtId="0">
      <sharedItems count="54">
        <s v="Kano-20260725-"/>
        <s v="Kano-20260101-"/>
        <s v="Kano-20260103-"/>
        <s v="Kano-20260108-"/>
        <s v="Kano-20260109-"/>
        <s v="Kano-20260110-"/>
        <s v="Kano-20260111-"/>
        <s v="Kano-20260112-"/>
        <s v="Kano-20260113-"/>
        <s v="Kano-20260114-"/>
        <s v="Kano-20260115-"/>
        <s v="Kano-20260116-"/>
        <s v="Kano-20260117"/>
        <s v="Kano-20260118-"/>
        <s v="Kano-20260119-"/>
        <s v="Kano-20260120-"/>
        <s v="Kano-20260121`-"/>
        <s v="Kano-20260122-"/>
        <s v="Kano-20260123-"/>
        <s v="Kano-20260124-"/>
        <s v="Kano-20260125-"/>
        <s v="Kano-20260126-"/>
        <s v="Kano-20260127-"/>
        <s v="Kano-20260128-"/>
        <s v="Kano-20260129-"/>
        <s v="Kano-20260130-"/>
        <s v="Kano-20260131-"/>
        <s v="Kano-20260132-"/>
        <s v="Kano-20260133-"/>
        <s v="Kano-20260134-"/>
        <s v="Kano-20260135-"/>
        <s v="Kano-20260136-"/>
        <s v="Kano-20260137-"/>
        <s v="Kano-20260138-"/>
        <s v="Kano-20260139-"/>
        <s v="Kano-20260140-"/>
        <s v="Kano-20260141-"/>
        <s v="Kano-20260142-"/>
        <s v="Kano-20260143-"/>
        <s v="Kano-20260144-"/>
        <s v="Kano-20260145-"/>
        <s v="Kano-20260146-"/>
        <s v="Kano-20260147-"/>
        <s v="Kano-20260148-"/>
        <s v="Kano-20260149-"/>
        <s v="Kano-20260150-"/>
        <s v="Kano-20260151-"/>
        <s v="Kano-20260152-"/>
        <s v="Kano-20260153-"/>
        <s v="Kano-20260154-"/>
        <s v="Kano-20260155-"/>
        <s v="Kano-20260156-"/>
        <s v="Kano-20260157-"/>
        <s v="Kano-20260158-"/>
      </sharedItems>
    </cacheField>
    <cacheField name="Consent" numFmtId="0">
      <sharedItems count="1">
        <s v="yes"/>
      </sharedItems>
    </cacheField>
    <cacheField name="Age" numFmtId="1">
      <sharedItems containsSemiMixedTypes="0" containsString="0" containsNumber="1" containsInteger="1" minValue="20" maxValue="50" count="28">
        <n v="30"/>
        <n v="35"/>
        <n v="22"/>
        <n v="25"/>
        <n v="33"/>
        <n v="40"/>
        <n v="38"/>
        <n v="28"/>
        <n v="44"/>
        <n v="49"/>
        <n v="36"/>
        <n v="21"/>
        <n v="46"/>
        <n v="47"/>
        <n v="34"/>
        <n v="31"/>
        <n v="37"/>
        <n v="24"/>
        <n v="29"/>
        <n v="48"/>
        <n v="41"/>
        <n v="50"/>
        <n v="45"/>
        <n v="43"/>
        <n v="26"/>
        <n v="27"/>
        <n v="20"/>
        <n v="32"/>
      </sharedItems>
    </cacheField>
    <cacheField name="Gender" numFmtId="0">
      <sharedItems count="2">
        <s v="male"/>
        <s v="female"/>
      </sharedItems>
    </cacheField>
    <cacheField name="State" numFmtId="0">
      <sharedItems count="1">
        <s v="Kano"/>
      </sharedItems>
    </cacheField>
    <cacheField name="Lga" numFmtId="0">
      <sharedItems count="1">
        <s v="Kano_Albasu"/>
      </sharedItems>
    </cacheField>
    <cacheField name="Education Level" numFmtId="0">
      <sharedItems count="2">
        <s v="tertiary"/>
        <s v="secondary"/>
      </sharedItems>
    </cacheField>
    <cacheField name="Occupation Before" numFmtId="0">
      <sharedItems count="3">
        <s v="unemployed"/>
        <s v="farmer"/>
        <s v="student"/>
      </sharedItems>
    </cacheField>
    <cacheField name="Occupation After" numFmtId="0">
      <sharedItems count="1">
        <s v="self_employed"/>
      </sharedItems>
    </cacheField>
    <cacheField name="Training Centre" numFmtId="1">
      <sharedItems containsSemiMixedTypes="0" containsString="0" containsNumber="1" containsInteger="1" minValue="1" maxValue="2" count="2">
        <n v="1"/>
        <n v="2"/>
      </sharedItems>
    </cacheField>
    <cacheField name="Trade Completed" numFmtId="0">
      <sharedItems count="4">
        <s v="ict"/>
        <s v="carpentry"/>
        <s v="tailoring"/>
        <s v="plumbing"/>
      </sharedItems>
    </cacheField>
    <cacheField name="Training Duration" numFmtId="0">
      <sharedItems count="2">
        <s v="12_months"/>
        <s v="6_months"/>
      </sharedItems>
    </cacheField>
    <cacheField name="Source of Awareness" numFmtId="0">
      <sharedItems count="3">
        <s v="social_media"/>
        <s v="other"/>
        <s v="community"/>
      </sharedItems>
    </cacheField>
    <cacheField name="Reason for Enrolment" numFmtId="0">
      <sharedItems count="3">
        <s v="skills"/>
        <s v="employment"/>
        <s v="income"/>
      </sharedItems>
    </cacheField>
    <cacheField name="Admission Transparency" numFmtId="0">
      <sharedItems count="2">
        <s v="high"/>
        <s v="medium"/>
      </sharedItems>
    </cacheField>
    <cacheField name="Communication of Eligibility" numFmtId="0">
      <sharedItems count="1">
        <s v="partial"/>
      </sharedItems>
    </cacheField>
    <cacheField name="Training Accessibility" numFmtId="0">
      <sharedItems count="1">
        <s v="moderate"/>
      </sharedItems>
    </cacheField>
    <cacheField name="Instructor Knowledge" numFmtId="0">
      <sharedItems count="2">
        <s v="good"/>
        <s v="average"/>
      </sharedItems>
    </cacheField>
    <cacheField name="Practical Sessions" numFmtId="0">
      <sharedItems count="2">
        <s v="good"/>
        <s v="average"/>
      </sharedItems>
    </cacheField>
    <cacheField name="Learning Materials" numFmtId="0">
      <sharedItems count="3">
        <s v="average"/>
        <s v="good"/>
        <s v="excellent"/>
      </sharedItems>
    </cacheField>
    <cacheField name="Training Facilities" numFmtId="0">
      <sharedItems count="3">
        <s v="good"/>
        <s v="poor"/>
        <s v="average"/>
      </sharedItems>
    </cacheField>
    <cacheField name="Equipment Availability" numFmtId="0">
      <sharedItems count="3">
        <s v="average"/>
        <s v="good"/>
        <s v="excellent"/>
      </sharedItems>
    </cacheField>
    <cacheField name="Attendance Monitoring" numFmtId="0">
      <sharedItems count="2">
        <s v="good"/>
        <s v="average"/>
      </sharedItems>
    </cacheField>
    <cacheField name="Technical Competence" numFmtId="0">
      <sharedItems count="3">
        <s v="good"/>
        <s v="average"/>
        <s v="excellent"/>
      </sharedItems>
    </cacheField>
    <cacheField name="Practical Experience" numFmtId="0">
      <sharedItems count="2">
        <s v="excellent"/>
        <s v="good"/>
      </sharedItems>
    </cacheField>
    <cacheField name="Skill Confidence" numFmtId="0">
      <sharedItems count="3">
        <s v="good"/>
        <s v="average"/>
        <s v="excellent"/>
      </sharedItems>
    </cacheField>
    <cacheField name="Digital Literacy" numFmtId="0">
      <sharedItems count="3">
        <s v="excellent"/>
        <s v="good"/>
        <s v="average"/>
      </sharedItems>
    </cacheField>
    <cacheField name="Communication Teamwork" numFmtId="0">
      <sharedItems count="2">
        <s v="good"/>
        <s v="excellent"/>
      </sharedItems>
    </cacheField>
    <cacheField name="Employment Status" numFmtId="0">
      <sharedItems count="2">
        <s v="self_employed"/>
        <s v="employed"/>
      </sharedItems>
    </cacheField>
    <cacheField name="Job Related to Training" numFmtId="0">
      <sharedItems count="1">
        <s v="yes"/>
      </sharedItems>
    </cacheField>
    <cacheField name="Income Improvement" numFmtId="0">
      <sharedItems count="2">
        <s v="moderate"/>
        <s v="significant"/>
      </sharedItems>
    </cacheField>
    <cacheField name="Employment Duration" numFmtId="1">
      <sharedItems containsSemiMixedTypes="0" containsString="0" containsNumber="1" containsInteger="1" minValue="12" maxValue="12" count="1">
        <n v="12"/>
      </sharedItems>
    </cacheField>
    <cacheField name="Employability Rating" numFmtId="0">
      <sharedItems count="1">
        <s v="good"/>
      </sharedItems>
    </cacheField>
    <cacheField name="Overall Satisfaction" numFmtId="0">
      <sharedItems count="2">
        <s v="good"/>
        <s v="excellent"/>
      </sharedItems>
    </cacheField>
    <cacheField name="Recommend Programme" numFmtId="0">
      <sharedItems count="1">
        <s v="yes"/>
      </sharedItems>
    </cacheField>
    <cacheField name="Programme met Expectations" numFmtId="0">
      <sharedItems count="2">
        <s v="neutral"/>
        <s v="agree"/>
      </sharedItems>
    </cacheField>
    <cacheField name="Future Participation" numFmtId="0">
      <sharedItems count="1">
        <s v="yes"/>
      </sharedItems>
    </cacheField>
    <cacheField name="Major Challenge" numFmtId="0">
      <sharedItems count="2">
        <s v="funding"/>
        <s v="equipment"/>
      </sharedItems>
    </cacheField>
    <cacheField name="Improvement  Area" numFmtId="0">
      <sharedItems count="2">
        <s v="materials"/>
        <s v="support"/>
      </sharedItems>
    </cacheField>
    <cacheField name="Additional Comments" numFmtId="0">
      <sharedItems count="3">
        <s v="Providing more equipment "/>
        <s v="Provide more support "/>
        <s v="Provide more materials "/>
      </sharedItems>
    </cacheField>
  </cacheFields>
  <extLst>
    <ext xmlns:x14="http://schemas.microsoft.com/office/spreadsheetml/2009/9/main" uri="{725AE2AE-9491-48be-B2B4-4EB974FC3084}">
      <x14:pivotCacheDefinition pivotCacheId="1823656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x v="0"/>
    <x v="0"/>
    <x v="0"/>
    <x v="0"/>
    <x v="0"/>
    <x v="0"/>
    <x v="0"/>
    <x v="0"/>
    <x v="0"/>
    <x v="0"/>
    <x v="0"/>
    <x v="0"/>
    <x v="0"/>
    <x v="0"/>
    <x v="0"/>
    <x v="0"/>
    <x v="0"/>
    <x v="0"/>
    <x v="0"/>
    <x v="0"/>
    <x v="0"/>
    <x v="0"/>
    <x v="0"/>
    <x v="0"/>
    <x v="0"/>
    <x v="0"/>
    <x v="0"/>
    <x v="0"/>
    <x v="0"/>
    <x v="0"/>
    <x v="0"/>
    <x v="0"/>
    <x v="0"/>
    <x v="0"/>
    <x v="0"/>
    <x v="0"/>
    <x v="0"/>
    <x v="0"/>
    <x v="0"/>
  </r>
  <r>
    <x v="1"/>
    <x v="1"/>
    <x v="0"/>
    <x v="1"/>
    <x v="0"/>
    <x v="0"/>
    <x v="0"/>
    <x v="1"/>
    <x v="1"/>
    <x v="0"/>
    <x v="0"/>
    <x v="1"/>
    <x v="0"/>
    <x v="1"/>
    <x v="1"/>
    <x v="1"/>
    <x v="0"/>
    <x v="0"/>
    <x v="1"/>
    <x v="0"/>
    <x v="0"/>
    <x v="1"/>
    <x v="0"/>
    <x v="0"/>
    <x v="1"/>
    <x v="1"/>
    <x v="1"/>
    <x v="1"/>
    <x v="1"/>
    <x v="0"/>
    <x v="0"/>
    <x v="1"/>
    <x v="0"/>
    <x v="0"/>
    <x v="0"/>
    <x v="0"/>
    <x v="0"/>
    <x v="0"/>
    <x v="1"/>
    <x v="1"/>
    <x v="1"/>
  </r>
  <r>
    <x v="2"/>
    <x v="2"/>
    <x v="0"/>
    <x v="2"/>
    <x v="1"/>
    <x v="0"/>
    <x v="0"/>
    <x v="1"/>
    <x v="2"/>
    <x v="0"/>
    <x v="0"/>
    <x v="2"/>
    <x v="1"/>
    <x v="2"/>
    <x v="2"/>
    <x v="1"/>
    <x v="0"/>
    <x v="0"/>
    <x v="0"/>
    <x v="0"/>
    <x v="0"/>
    <x v="0"/>
    <x v="1"/>
    <x v="1"/>
    <x v="0"/>
    <x v="1"/>
    <x v="2"/>
    <x v="2"/>
    <x v="0"/>
    <x v="0"/>
    <x v="0"/>
    <x v="1"/>
    <x v="0"/>
    <x v="0"/>
    <x v="1"/>
    <x v="0"/>
    <x v="1"/>
    <x v="0"/>
    <x v="1"/>
    <x v="0"/>
    <x v="2"/>
  </r>
  <r>
    <x v="3"/>
    <x v="3"/>
    <x v="0"/>
    <x v="3"/>
    <x v="0"/>
    <x v="0"/>
    <x v="0"/>
    <x v="1"/>
    <x v="2"/>
    <x v="0"/>
    <x v="1"/>
    <x v="3"/>
    <x v="0"/>
    <x v="0"/>
    <x v="1"/>
    <x v="1"/>
    <x v="0"/>
    <x v="0"/>
    <x v="0"/>
    <x v="1"/>
    <x v="1"/>
    <x v="0"/>
    <x v="1"/>
    <x v="1"/>
    <x v="2"/>
    <x v="1"/>
    <x v="0"/>
    <x v="0"/>
    <x v="0"/>
    <x v="0"/>
    <x v="0"/>
    <x v="0"/>
    <x v="0"/>
    <x v="0"/>
    <x v="0"/>
    <x v="0"/>
    <x v="1"/>
    <x v="0"/>
    <x v="1"/>
    <x v="0"/>
    <x v="2"/>
  </r>
  <r>
    <x v="4"/>
    <x v="4"/>
    <x v="0"/>
    <x v="4"/>
    <x v="1"/>
    <x v="0"/>
    <x v="0"/>
    <x v="0"/>
    <x v="0"/>
    <x v="0"/>
    <x v="1"/>
    <x v="2"/>
    <x v="0"/>
    <x v="2"/>
    <x v="2"/>
    <x v="0"/>
    <x v="0"/>
    <x v="0"/>
    <x v="0"/>
    <x v="1"/>
    <x v="2"/>
    <x v="2"/>
    <x v="2"/>
    <x v="0"/>
    <x v="1"/>
    <x v="1"/>
    <x v="2"/>
    <x v="2"/>
    <x v="0"/>
    <x v="1"/>
    <x v="0"/>
    <x v="0"/>
    <x v="0"/>
    <x v="0"/>
    <x v="1"/>
    <x v="0"/>
    <x v="1"/>
    <x v="0"/>
    <x v="1"/>
    <x v="0"/>
    <x v="2"/>
  </r>
  <r>
    <x v="0"/>
    <x v="5"/>
    <x v="0"/>
    <x v="5"/>
    <x v="0"/>
    <x v="0"/>
    <x v="0"/>
    <x v="0"/>
    <x v="2"/>
    <x v="0"/>
    <x v="1"/>
    <x v="0"/>
    <x v="0"/>
    <x v="2"/>
    <x v="0"/>
    <x v="0"/>
    <x v="0"/>
    <x v="0"/>
    <x v="0"/>
    <x v="1"/>
    <x v="2"/>
    <x v="2"/>
    <x v="2"/>
    <x v="0"/>
    <x v="1"/>
    <x v="1"/>
    <x v="2"/>
    <x v="2"/>
    <x v="0"/>
    <x v="1"/>
    <x v="0"/>
    <x v="0"/>
    <x v="0"/>
    <x v="0"/>
    <x v="0"/>
    <x v="0"/>
    <x v="0"/>
    <x v="0"/>
    <x v="0"/>
    <x v="0"/>
    <x v="0"/>
  </r>
  <r>
    <x v="1"/>
    <x v="6"/>
    <x v="0"/>
    <x v="6"/>
    <x v="0"/>
    <x v="0"/>
    <x v="0"/>
    <x v="0"/>
    <x v="2"/>
    <x v="0"/>
    <x v="1"/>
    <x v="0"/>
    <x v="0"/>
    <x v="2"/>
    <x v="0"/>
    <x v="0"/>
    <x v="0"/>
    <x v="0"/>
    <x v="0"/>
    <x v="1"/>
    <x v="2"/>
    <x v="2"/>
    <x v="2"/>
    <x v="0"/>
    <x v="1"/>
    <x v="1"/>
    <x v="2"/>
    <x v="2"/>
    <x v="0"/>
    <x v="1"/>
    <x v="0"/>
    <x v="0"/>
    <x v="0"/>
    <x v="0"/>
    <x v="0"/>
    <x v="0"/>
    <x v="0"/>
    <x v="0"/>
    <x v="1"/>
    <x v="1"/>
    <x v="1"/>
  </r>
  <r>
    <x v="2"/>
    <x v="7"/>
    <x v="0"/>
    <x v="7"/>
    <x v="1"/>
    <x v="0"/>
    <x v="0"/>
    <x v="0"/>
    <x v="2"/>
    <x v="0"/>
    <x v="1"/>
    <x v="0"/>
    <x v="0"/>
    <x v="2"/>
    <x v="0"/>
    <x v="0"/>
    <x v="0"/>
    <x v="0"/>
    <x v="0"/>
    <x v="1"/>
    <x v="2"/>
    <x v="2"/>
    <x v="2"/>
    <x v="0"/>
    <x v="1"/>
    <x v="1"/>
    <x v="2"/>
    <x v="2"/>
    <x v="0"/>
    <x v="1"/>
    <x v="0"/>
    <x v="0"/>
    <x v="0"/>
    <x v="0"/>
    <x v="1"/>
    <x v="0"/>
    <x v="1"/>
    <x v="0"/>
    <x v="1"/>
    <x v="0"/>
    <x v="2"/>
  </r>
  <r>
    <x v="3"/>
    <x v="8"/>
    <x v="0"/>
    <x v="4"/>
    <x v="1"/>
    <x v="0"/>
    <x v="0"/>
    <x v="0"/>
    <x v="2"/>
    <x v="0"/>
    <x v="1"/>
    <x v="0"/>
    <x v="0"/>
    <x v="2"/>
    <x v="0"/>
    <x v="0"/>
    <x v="0"/>
    <x v="0"/>
    <x v="0"/>
    <x v="1"/>
    <x v="2"/>
    <x v="2"/>
    <x v="2"/>
    <x v="0"/>
    <x v="1"/>
    <x v="1"/>
    <x v="2"/>
    <x v="2"/>
    <x v="0"/>
    <x v="1"/>
    <x v="0"/>
    <x v="0"/>
    <x v="0"/>
    <x v="0"/>
    <x v="0"/>
    <x v="0"/>
    <x v="1"/>
    <x v="0"/>
    <x v="1"/>
    <x v="0"/>
    <x v="2"/>
  </r>
  <r>
    <x v="4"/>
    <x v="9"/>
    <x v="0"/>
    <x v="8"/>
    <x v="1"/>
    <x v="0"/>
    <x v="0"/>
    <x v="0"/>
    <x v="2"/>
    <x v="0"/>
    <x v="1"/>
    <x v="0"/>
    <x v="0"/>
    <x v="2"/>
    <x v="0"/>
    <x v="0"/>
    <x v="0"/>
    <x v="0"/>
    <x v="0"/>
    <x v="1"/>
    <x v="2"/>
    <x v="2"/>
    <x v="2"/>
    <x v="0"/>
    <x v="1"/>
    <x v="1"/>
    <x v="2"/>
    <x v="2"/>
    <x v="0"/>
    <x v="1"/>
    <x v="0"/>
    <x v="0"/>
    <x v="0"/>
    <x v="0"/>
    <x v="1"/>
    <x v="0"/>
    <x v="1"/>
    <x v="0"/>
    <x v="1"/>
    <x v="0"/>
    <x v="2"/>
  </r>
  <r>
    <x v="0"/>
    <x v="10"/>
    <x v="0"/>
    <x v="9"/>
    <x v="1"/>
    <x v="0"/>
    <x v="0"/>
    <x v="0"/>
    <x v="2"/>
    <x v="0"/>
    <x v="1"/>
    <x v="0"/>
    <x v="0"/>
    <x v="2"/>
    <x v="0"/>
    <x v="0"/>
    <x v="0"/>
    <x v="0"/>
    <x v="0"/>
    <x v="1"/>
    <x v="2"/>
    <x v="2"/>
    <x v="2"/>
    <x v="0"/>
    <x v="1"/>
    <x v="1"/>
    <x v="2"/>
    <x v="2"/>
    <x v="0"/>
    <x v="1"/>
    <x v="0"/>
    <x v="0"/>
    <x v="0"/>
    <x v="0"/>
    <x v="0"/>
    <x v="0"/>
    <x v="0"/>
    <x v="0"/>
    <x v="0"/>
    <x v="0"/>
    <x v="0"/>
  </r>
  <r>
    <x v="1"/>
    <x v="11"/>
    <x v="0"/>
    <x v="5"/>
    <x v="1"/>
    <x v="0"/>
    <x v="0"/>
    <x v="0"/>
    <x v="2"/>
    <x v="0"/>
    <x v="1"/>
    <x v="0"/>
    <x v="0"/>
    <x v="2"/>
    <x v="0"/>
    <x v="0"/>
    <x v="0"/>
    <x v="0"/>
    <x v="0"/>
    <x v="1"/>
    <x v="2"/>
    <x v="2"/>
    <x v="2"/>
    <x v="0"/>
    <x v="1"/>
    <x v="1"/>
    <x v="2"/>
    <x v="2"/>
    <x v="0"/>
    <x v="1"/>
    <x v="0"/>
    <x v="0"/>
    <x v="0"/>
    <x v="0"/>
    <x v="0"/>
    <x v="0"/>
    <x v="0"/>
    <x v="0"/>
    <x v="1"/>
    <x v="1"/>
    <x v="1"/>
  </r>
  <r>
    <x v="2"/>
    <x v="12"/>
    <x v="0"/>
    <x v="10"/>
    <x v="1"/>
    <x v="0"/>
    <x v="0"/>
    <x v="0"/>
    <x v="2"/>
    <x v="0"/>
    <x v="1"/>
    <x v="0"/>
    <x v="0"/>
    <x v="2"/>
    <x v="0"/>
    <x v="0"/>
    <x v="0"/>
    <x v="0"/>
    <x v="0"/>
    <x v="1"/>
    <x v="2"/>
    <x v="2"/>
    <x v="2"/>
    <x v="0"/>
    <x v="1"/>
    <x v="1"/>
    <x v="2"/>
    <x v="2"/>
    <x v="0"/>
    <x v="1"/>
    <x v="0"/>
    <x v="0"/>
    <x v="0"/>
    <x v="0"/>
    <x v="1"/>
    <x v="0"/>
    <x v="1"/>
    <x v="0"/>
    <x v="1"/>
    <x v="0"/>
    <x v="2"/>
  </r>
  <r>
    <x v="3"/>
    <x v="13"/>
    <x v="0"/>
    <x v="11"/>
    <x v="1"/>
    <x v="0"/>
    <x v="0"/>
    <x v="0"/>
    <x v="2"/>
    <x v="0"/>
    <x v="1"/>
    <x v="0"/>
    <x v="0"/>
    <x v="2"/>
    <x v="0"/>
    <x v="0"/>
    <x v="0"/>
    <x v="0"/>
    <x v="0"/>
    <x v="1"/>
    <x v="2"/>
    <x v="2"/>
    <x v="2"/>
    <x v="0"/>
    <x v="1"/>
    <x v="1"/>
    <x v="2"/>
    <x v="2"/>
    <x v="0"/>
    <x v="1"/>
    <x v="0"/>
    <x v="0"/>
    <x v="0"/>
    <x v="0"/>
    <x v="0"/>
    <x v="0"/>
    <x v="1"/>
    <x v="0"/>
    <x v="1"/>
    <x v="0"/>
    <x v="2"/>
  </r>
  <r>
    <x v="4"/>
    <x v="14"/>
    <x v="0"/>
    <x v="12"/>
    <x v="1"/>
    <x v="0"/>
    <x v="0"/>
    <x v="0"/>
    <x v="2"/>
    <x v="0"/>
    <x v="1"/>
    <x v="0"/>
    <x v="0"/>
    <x v="2"/>
    <x v="0"/>
    <x v="0"/>
    <x v="0"/>
    <x v="0"/>
    <x v="0"/>
    <x v="0"/>
    <x v="2"/>
    <x v="2"/>
    <x v="2"/>
    <x v="0"/>
    <x v="1"/>
    <x v="1"/>
    <x v="2"/>
    <x v="2"/>
    <x v="0"/>
    <x v="1"/>
    <x v="0"/>
    <x v="0"/>
    <x v="0"/>
    <x v="0"/>
    <x v="1"/>
    <x v="0"/>
    <x v="1"/>
    <x v="0"/>
    <x v="1"/>
    <x v="0"/>
    <x v="2"/>
  </r>
  <r>
    <x v="0"/>
    <x v="15"/>
    <x v="0"/>
    <x v="0"/>
    <x v="1"/>
    <x v="0"/>
    <x v="0"/>
    <x v="0"/>
    <x v="2"/>
    <x v="0"/>
    <x v="1"/>
    <x v="0"/>
    <x v="0"/>
    <x v="2"/>
    <x v="0"/>
    <x v="0"/>
    <x v="0"/>
    <x v="0"/>
    <x v="0"/>
    <x v="0"/>
    <x v="2"/>
    <x v="2"/>
    <x v="2"/>
    <x v="0"/>
    <x v="1"/>
    <x v="1"/>
    <x v="2"/>
    <x v="2"/>
    <x v="0"/>
    <x v="1"/>
    <x v="0"/>
    <x v="0"/>
    <x v="0"/>
    <x v="0"/>
    <x v="0"/>
    <x v="0"/>
    <x v="0"/>
    <x v="0"/>
    <x v="0"/>
    <x v="0"/>
    <x v="0"/>
  </r>
  <r>
    <x v="1"/>
    <x v="16"/>
    <x v="0"/>
    <x v="13"/>
    <x v="1"/>
    <x v="0"/>
    <x v="0"/>
    <x v="0"/>
    <x v="2"/>
    <x v="0"/>
    <x v="1"/>
    <x v="0"/>
    <x v="0"/>
    <x v="2"/>
    <x v="0"/>
    <x v="1"/>
    <x v="0"/>
    <x v="0"/>
    <x v="0"/>
    <x v="0"/>
    <x v="1"/>
    <x v="0"/>
    <x v="2"/>
    <x v="0"/>
    <x v="1"/>
    <x v="1"/>
    <x v="2"/>
    <x v="2"/>
    <x v="0"/>
    <x v="1"/>
    <x v="0"/>
    <x v="0"/>
    <x v="0"/>
    <x v="0"/>
    <x v="0"/>
    <x v="0"/>
    <x v="0"/>
    <x v="0"/>
    <x v="1"/>
    <x v="1"/>
    <x v="1"/>
  </r>
  <r>
    <x v="2"/>
    <x v="17"/>
    <x v="0"/>
    <x v="14"/>
    <x v="1"/>
    <x v="0"/>
    <x v="0"/>
    <x v="0"/>
    <x v="2"/>
    <x v="0"/>
    <x v="1"/>
    <x v="0"/>
    <x v="0"/>
    <x v="2"/>
    <x v="0"/>
    <x v="1"/>
    <x v="0"/>
    <x v="0"/>
    <x v="0"/>
    <x v="0"/>
    <x v="1"/>
    <x v="0"/>
    <x v="2"/>
    <x v="0"/>
    <x v="1"/>
    <x v="1"/>
    <x v="2"/>
    <x v="2"/>
    <x v="0"/>
    <x v="1"/>
    <x v="0"/>
    <x v="0"/>
    <x v="0"/>
    <x v="0"/>
    <x v="1"/>
    <x v="0"/>
    <x v="1"/>
    <x v="0"/>
    <x v="1"/>
    <x v="0"/>
    <x v="2"/>
  </r>
  <r>
    <x v="3"/>
    <x v="18"/>
    <x v="0"/>
    <x v="15"/>
    <x v="1"/>
    <x v="0"/>
    <x v="0"/>
    <x v="1"/>
    <x v="2"/>
    <x v="0"/>
    <x v="1"/>
    <x v="0"/>
    <x v="0"/>
    <x v="2"/>
    <x v="0"/>
    <x v="1"/>
    <x v="0"/>
    <x v="0"/>
    <x v="0"/>
    <x v="0"/>
    <x v="1"/>
    <x v="0"/>
    <x v="2"/>
    <x v="1"/>
    <x v="1"/>
    <x v="1"/>
    <x v="2"/>
    <x v="2"/>
    <x v="0"/>
    <x v="1"/>
    <x v="0"/>
    <x v="1"/>
    <x v="0"/>
    <x v="0"/>
    <x v="0"/>
    <x v="0"/>
    <x v="1"/>
    <x v="0"/>
    <x v="1"/>
    <x v="0"/>
    <x v="2"/>
  </r>
  <r>
    <x v="4"/>
    <x v="19"/>
    <x v="0"/>
    <x v="3"/>
    <x v="1"/>
    <x v="0"/>
    <x v="0"/>
    <x v="1"/>
    <x v="2"/>
    <x v="0"/>
    <x v="1"/>
    <x v="0"/>
    <x v="0"/>
    <x v="2"/>
    <x v="0"/>
    <x v="1"/>
    <x v="0"/>
    <x v="0"/>
    <x v="0"/>
    <x v="0"/>
    <x v="1"/>
    <x v="0"/>
    <x v="2"/>
    <x v="1"/>
    <x v="1"/>
    <x v="1"/>
    <x v="2"/>
    <x v="2"/>
    <x v="0"/>
    <x v="1"/>
    <x v="0"/>
    <x v="1"/>
    <x v="0"/>
    <x v="0"/>
    <x v="1"/>
    <x v="0"/>
    <x v="1"/>
    <x v="0"/>
    <x v="1"/>
    <x v="0"/>
    <x v="2"/>
  </r>
  <r>
    <x v="0"/>
    <x v="20"/>
    <x v="0"/>
    <x v="16"/>
    <x v="1"/>
    <x v="0"/>
    <x v="0"/>
    <x v="1"/>
    <x v="2"/>
    <x v="0"/>
    <x v="1"/>
    <x v="0"/>
    <x v="0"/>
    <x v="2"/>
    <x v="1"/>
    <x v="1"/>
    <x v="0"/>
    <x v="0"/>
    <x v="1"/>
    <x v="0"/>
    <x v="1"/>
    <x v="0"/>
    <x v="2"/>
    <x v="1"/>
    <x v="0"/>
    <x v="1"/>
    <x v="2"/>
    <x v="2"/>
    <x v="0"/>
    <x v="0"/>
    <x v="0"/>
    <x v="1"/>
    <x v="0"/>
    <x v="0"/>
    <x v="0"/>
    <x v="0"/>
    <x v="0"/>
    <x v="0"/>
    <x v="0"/>
    <x v="0"/>
    <x v="0"/>
  </r>
  <r>
    <x v="1"/>
    <x v="21"/>
    <x v="0"/>
    <x v="17"/>
    <x v="0"/>
    <x v="0"/>
    <x v="0"/>
    <x v="1"/>
    <x v="0"/>
    <x v="0"/>
    <x v="0"/>
    <x v="0"/>
    <x v="0"/>
    <x v="2"/>
    <x v="1"/>
    <x v="1"/>
    <x v="0"/>
    <x v="0"/>
    <x v="1"/>
    <x v="0"/>
    <x v="1"/>
    <x v="0"/>
    <x v="1"/>
    <x v="1"/>
    <x v="0"/>
    <x v="1"/>
    <x v="2"/>
    <x v="2"/>
    <x v="0"/>
    <x v="0"/>
    <x v="0"/>
    <x v="1"/>
    <x v="0"/>
    <x v="0"/>
    <x v="0"/>
    <x v="0"/>
    <x v="0"/>
    <x v="0"/>
    <x v="1"/>
    <x v="1"/>
    <x v="1"/>
  </r>
  <r>
    <x v="2"/>
    <x v="22"/>
    <x v="0"/>
    <x v="18"/>
    <x v="0"/>
    <x v="0"/>
    <x v="0"/>
    <x v="1"/>
    <x v="0"/>
    <x v="0"/>
    <x v="0"/>
    <x v="0"/>
    <x v="0"/>
    <x v="2"/>
    <x v="1"/>
    <x v="1"/>
    <x v="0"/>
    <x v="0"/>
    <x v="1"/>
    <x v="0"/>
    <x v="1"/>
    <x v="0"/>
    <x v="1"/>
    <x v="1"/>
    <x v="0"/>
    <x v="1"/>
    <x v="2"/>
    <x v="2"/>
    <x v="0"/>
    <x v="0"/>
    <x v="0"/>
    <x v="1"/>
    <x v="0"/>
    <x v="0"/>
    <x v="1"/>
    <x v="0"/>
    <x v="1"/>
    <x v="0"/>
    <x v="1"/>
    <x v="0"/>
    <x v="2"/>
  </r>
  <r>
    <x v="3"/>
    <x v="23"/>
    <x v="0"/>
    <x v="12"/>
    <x v="0"/>
    <x v="0"/>
    <x v="0"/>
    <x v="1"/>
    <x v="0"/>
    <x v="0"/>
    <x v="0"/>
    <x v="1"/>
    <x v="0"/>
    <x v="0"/>
    <x v="1"/>
    <x v="1"/>
    <x v="0"/>
    <x v="0"/>
    <x v="1"/>
    <x v="0"/>
    <x v="1"/>
    <x v="0"/>
    <x v="1"/>
    <x v="1"/>
    <x v="0"/>
    <x v="1"/>
    <x v="2"/>
    <x v="2"/>
    <x v="0"/>
    <x v="0"/>
    <x v="0"/>
    <x v="1"/>
    <x v="0"/>
    <x v="0"/>
    <x v="0"/>
    <x v="0"/>
    <x v="1"/>
    <x v="0"/>
    <x v="1"/>
    <x v="0"/>
    <x v="2"/>
  </r>
  <r>
    <x v="4"/>
    <x v="24"/>
    <x v="0"/>
    <x v="7"/>
    <x v="0"/>
    <x v="0"/>
    <x v="0"/>
    <x v="1"/>
    <x v="0"/>
    <x v="0"/>
    <x v="0"/>
    <x v="1"/>
    <x v="0"/>
    <x v="0"/>
    <x v="1"/>
    <x v="1"/>
    <x v="0"/>
    <x v="0"/>
    <x v="1"/>
    <x v="0"/>
    <x v="1"/>
    <x v="0"/>
    <x v="1"/>
    <x v="1"/>
    <x v="0"/>
    <x v="1"/>
    <x v="2"/>
    <x v="2"/>
    <x v="0"/>
    <x v="0"/>
    <x v="0"/>
    <x v="1"/>
    <x v="0"/>
    <x v="0"/>
    <x v="1"/>
    <x v="0"/>
    <x v="1"/>
    <x v="0"/>
    <x v="1"/>
    <x v="0"/>
    <x v="2"/>
  </r>
  <r>
    <x v="0"/>
    <x v="25"/>
    <x v="0"/>
    <x v="19"/>
    <x v="0"/>
    <x v="0"/>
    <x v="0"/>
    <x v="1"/>
    <x v="0"/>
    <x v="0"/>
    <x v="0"/>
    <x v="1"/>
    <x v="0"/>
    <x v="0"/>
    <x v="1"/>
    <x v="1"/>
    <x v="0"/>
    <x v="0"/>
    <x v="1"/>
    <x v="1"/>
    <x v="1"/>
    <x v="0"/>
    <x v="1"/>
    <x v="1"/>
    <x v="0"/>
    <x v="1"/>
    <x v="2"/>
    <x v="2"/>
    <x v="0"/>
    <x v="0"/>
    <x v="0"/>
    <x v="1"/>
    <x v="0"/>
    <x v="0"/>
    <x v="0"/>
    <x v="0"/>
    <x v="0"/>
    <x v="0"/>
    <x v="0"/>
    <x v="0"/>
    <x v="0"/>
  </r>
  <r>
    <x v="1"/>
    <x v="26"/>
    <x v="0"/>
    <x v="7"/>
    <x v="0"/>
    <x v="0"/>
    <x v="0"/>
    <x v="1"/>
    <x v="0"/>
    <x v="0"/>
    <x v="0"/>
    <x v="1"/>
    <x v="0"/>
    <x v="0"/>
    <x v="1"/>
    <x v="1"/>
    <x v="0"/>
    <x v="0"/>
    <x v="1"/>
    <x v="1"/>
    <x v="1"/>
    <x v="0"/>
    <x v="1"/>
    <x v="1"/>
    <x v="0"/>
    <x v="1"/>
    <x v="2"/>
    <x v="2"/>
    <x v="0"/>
    <x v="0"/>
    <x v="0"/>
    <x v="1"/>
    <x v="0"/>
    <x v="0"/>
    <x v="0"/>
    <x v="0"/>
    <x v="0"/>
    <x v="0"/>
    <x v="1"/>
    <x v="1"/>
    <x v="1"/>
  </r>
  <r>
    <x v="2"/>
    <x v="27"/>
    <x v="0"/>
    <x v="20"/>
    <x v="0"/>
    <x v="0"/>
    <x v="0"/>
    <x v="1"/>
    <x v="0"/>
    <x v="0"/>
    <x v="0"/>
    <x v="1"/>
    <x v="0"/>
    <x v="0"/>
    <x v="1"/>
    <x v="1"/>
    <x v="0"/>
    <x v="0"/>
    <x v="1"/>
    <x v="1"/>
    <x v="1"/>
    <x v="0"/>
    <x v="1"/>
    <x v="1"/>
    <x v="0"/>
    <x v="1"/>
    <x v="2"/>
    <x v="2"/>
    <x v="0"/>
    <x v="0"/>
    <x v="0"/>
    <x v="1"/>
    <x v="0"/>
    <x v="0"/>
    <x v="1"/>
    <x v="0"/>
    <x v="1"/>
    <x v="0"/>
    <x v="1"/>
    <x v="0"/>
    <x v="2"/>
  </r>
  <r>
    <x v="3"/>
    <x v="28"/>
    <x v="0"/>
    <x v="5"/>
    <x v="0"/>
    <x v="0"/>
    <x v="0"/>
    <x v="1"/>
    <x v="0"/>
    <x v="0"/>
    <x v="0"/>
    <x v="1"/>
    <x v="0"/>
    <x v="0"/>
    <x v="1"/>
    <x v="1"/>
    <x v="0"/>
    <x v="0"/>
    <x v="1"/>
    <x v="1"/>
    <x v="0"/>
    <x v="2"/>
    <x v="1"/>
    <x v="1"/>
    <x v="0"/>
    <x v="1"/>
    <x v="2"/>
    <x v="2"/>
    <x v="0"/>
    <x v="0"/>
    <x v="0"/>
    <x v="1"/>
    <x v="0"/>
    <x v="0"/>
    <x v="0"/>
    <x v="0"/>
    <x v="1"/>
    <x v="0"/>
    <x v="1"/>
    <x v="0"/>
    <x v="2"/>
  </r>
  <r>
    <x v="4"/>
    <x v="29"/>
    <x v="0"/>
    <x v="21"/>
    <x v="0"/>
    <x v="0"/>
    <x v="0"/>
    <x v="1"/>
    <x v="0"/>
    <x v="0"/>
    <x v="0"/>
    <x v="1"/>
    <x v="0"/>
    <x v="0"/>
    <x v="1"/>
    <x v="0"/>
    <x v="0"/>
    <x v="0"/>
    <x v="1"/>
    <x v="1"/>
    <x v="0"/>
    <x v="2"/>
    <x v="1"/>
    <x v="1"/>
    <x v="0"/>
    <x v="1"/>
    <x v="2"/>
    <x v="2"/>
    <x v="0"/>
    <x v="0"/>
    <x v="0"/>
    <x v="1"/>
    <x v="0"/>
    <x v="0"/>
    <x v="1"/>
    <x v="0"/>
    <x v="1"/>
    <x v="0"/>
    <x v="1"/>
    <x v="0"/>
    <x v="2"/>
  </r>
  <r>
    <x v="0"/>
    <x v="30"/>
    <x v="0"/>
    <x v="6"/>
    <x v="0"/>
    <x v="0"/>
    <x v="0"/>
    <x v="1"/>
    <x v="0"/>
    <x v="0"/>
    <x v="0"/>
    <x v="1"/>
    <x v="0"/>
    <x v="0"/>
    <x v="1"/>
    <x v="0"/>
    <x v="0"/>
    <x v="0"/>
    <x v="1"/>
    <x v="1"/>
    <x v="0"/>
    <x v="2"/>
    <x v="1"/>
    <x v="1"/>
    <x v="0"/>
    <x v="1"/>
    <x v="2"/>
    <x v="2"/>
    <x v="0"/>
    <x v="0"/>
    <x v="0"/>
    <x v="1"/>
    <x v="0"/>
    <x v="0"/>
    <x v="0"/>
    <x v="0"/>
    <x v="0"/>
    <x v="0"/>
    <x v="0"/>
    <x v="0"/>
    <x v="0"/>
  </r>
  <r>
    <x v="1"/>
    <x v="31"/>
    <x v="0"/>
    <x v="1"/>
    <x v="0"/>
    <x v="0"/>
    <x v="0"/>
    <x v="1"/>
    <x v="0"/>
    <x v="0"/>
    <x v="0"/>
    <x v="1"/>
    <x v="0"/>
    <x v="0"/>
    <x v="1"/>
    <x v="0"/>
    <x v="0"/>
    <x v="0"/>
    <x v="1"/>
    <x v="1"/>
    <x v="0"/>
    <x v="2"/>
    <x v="1"/>
    <x v="1"/>
    <x v="0"/>
    <x v="1"/>
    <x v="2"/>
    <x v="2"/>
    <x v="0"/>
    <x v="0"/>
    <x v="0"/>
    <x v="1"/>
    <x v="0"/>
    <x v="0"/>
    <x v="0"/>
    <x v="0"/>
    <x v="0"/>
    <x v="0"/>
    <x v="1"/>
    <x v="1"/>
    <x v="1"/>
  </r>
  <r>
    <x v="2"/>
    <x v="32"/>
    <x v="0"/>
    <x v="11"/>
    <x v="0"/>
    <x v="0"/>
    <x v="0"/>
    <x v="1"/>
    <x v="0"/>
    <x v="0"/>
    <x v="0"/>
    <x v="1"/>
    <x v="0"/>
    <x v="0"/>
    <x v="1"/>
    <x v="0"/>
    <x v="0"/>
    <x v="0"/>
    <x v="1"/>
    <x v="1"/>
    <x v="0"/>
    <x v="2"/>
    <x v="1"/>
    <x v="1"/>
    <x v="0"/>
    <x v="1"/>
    <x v="2"/>
    <x v="2"/>
    <x v="0"/>
    <x v="0"/>
    <x v="0"/>
    <x v="1"/>
    <x v="0"/>
    <x v="0"/>
    <x v="1"/>
    <x v="0"/>
    <x v="1"/>
    <x v="0"/>
    <x v="1"/>
    <x v="0"/>
    <x v="2"/>
  </r>
  <r>
    <x v="3"/>
    <x v="33"/>
    <x v="0"/>
    <x v="0"/>
    <x v="0"/>
    <x v="0"/>
    <x v="0"/>
    <x v="1"/>
    <x v="0"/>
    <x v="0"/>
    <x v="0"/>
    <x v="1"/>
    <x v="0"/>
    <x v="0"/>
    <x v="2"/>
    <x v="0"/>
    <x v="0"/>
    <x v="0"/>
    <x v="1"/>
    <x v="1"/>
    <x v="0"/>
    <x v="2"/>
    <x v="1"/>
    <x v="1"/>
    <x v="0"/>
    <x v="1"/>
    <x v="2"/>
    <x v="2"/>
    <x v="0"/>
    <x v="0"/>
    <x v="0"/>
    <x v="1"/>
    <x v="0"/>
    <x v="0"/>
    <x v="0"/>
    <x v="0"/>
    <x v="1"/>
    <x v="0"/>
    <x v="1"/>
    <x v="0"/>
    <x v="2"/>
  </r>
  <r>
    <x v="4"/>
    <x v="34"/>
    <x v="0"/>
    <x v="19"/>
    <x v="0"/>
    <x v="0"/>
    <x v="0"/>
    <x v="1"/>
    <x v="0"/>
    <x v="0"/>
    <x v="0"/>
    <x v="1"/>
    <x v="0"/>
    <x v="0"/>
    <x v="2"/>
    <x v="0"/>
    <x v="0"/>
    <x v="0"/>
    <x v="0"/>
    <x v="1"/>
    <x v="0"/>
    <x v="2"/>
    <x v="1"/>
    <x v="1"/>
    <x v="0"/>
    <x v="1"/>
    <x v="2"/>
    <x v="2"/>
    <x v="0"/>
    <x v="0"/>
    <x v="0"/>
    <x v="1"/>
    <x v="0"/>
    <x v="0"/>
    <x v="1"/>
    <x v="0"/>
    <x v="1"/>
    <x v="0"/>
    <x v="1"/>
    <x v="0"/>
    <x v="2"/>
  </r>
  <r>
    <x v="0"/>
    <x v="35"/>
    <x v="0"/>
    <x v="22"/>
    <x v="0"/>
    <x v="0"/>
    <x v="0"/>
    <x v="1"/>
    <x v="1"/>
    <x v="0"/>
    <x v="0"/>
    <x v="1"/>
    <x v="0"/>
    <x v="0"/>
    <x v="2"/>
    <x v="0"/>
    <x v="0"/>
    <x v="0"/>
    <x v="0"/>
    <x v="1"/>
    <x v="0"/>
    <x v="2"/>
    <x v="1"/>
    <x v="0"/>
    <x v="0"/>
    <x v="1"/>
    <x v="2"/>
    <x v="2"/>
    <x v="0"/>
    <x v="0"/>
    <x v="0"/>
    <x v="1"/>
    <x v="0"/>
    <x v="0"/>
    <x v="0"/>
    <x v="0"/>
    <x v="0"/>
    <x v="0"/>
    <x v="0"/>
    <x v="0"/>
    <x v="0"/>
  </r>
  <r>
    <x v="1"/>
    <x v="36"/>
    <x v="0"/>
    <x v="23"/>
    <x v="0"/>
    <x v="0"/>
    <x v="0"/>
    <x v="1"/>
    <x v="1"/>
    <x v="0"/>
    <x v="0"/>
    <x v="2"/>
    <x v="0"/>
    <x v="0"/>
    <x v="2"/>
    <x v="0"/>
    <x v="0"/>
    <x v="0"/>
    <x v="0"/>
    <x v="1"/>
    <x v="0"/>
    <x v="2"/>
    <x v="0"/>
    <x v="0"/>
    <x v="0"/>
    <x v="1"/>
    <x v="2"/>
    <x v="2"/>
    <x v="0"/>
    <x v="0"/>
    <x v="0"/>
    <x v="0"/>
    <x v="0"/>
    <x v="0"/>
    <x v="0"/>
    <x v="0"/>
    <x v="0"/>
    <x v="0"/>
    <x v="1"/>
    <x v="1"/>
    <x v="1"/>
  </r>
  <r>
    <x v="2"/>
    <x v="37"/>
    <x v="0"/>
    <x v="24"/>
    <x v="0"/>
    <x v="0"/>
    <x v="0"/>
    <x v="1"/>
    <x v="1"/>
    <x v="0"/>
    <x v="0"/>
    <x v="2"/>
    <x v="0"/>
    <x v="0"/>
    <x v="2"/>
    <x v="0"/>
    <x v="0"/>
    <x v="0"/>
    <x v="0"/>
    <x v="0"/>
    <x v="0"/>
    <x v="2"/>
    <x v="0"/>
    <x v="0"/>
    <x v="1"/>
    <x v="1"/>
    <x v="1"/>
    <x v="1"/>
    <x v="1"/>
    <x v="0"/>
    <x v="0"/>
    <x v="1"/>
    <x v="0"/>
    <x v="0"/>
    <x v="1"/>
    <x v="0"/>
    <x v="1"/>
    <x v="0"/>
    <x v="1"/>
    <x v="0"/>
    <x v="2"/>
  </r>
  <r>
    <x v="3"/>
    <x v="38"/>
    <x v="0"/>
    <x v="11"/>
    <x v="0"/>
    <x v="0"/>
    <x v="0"/>
    <x v="1"/>
    <x v="1"/>
    <x v="0"/>
    <x v="0"/>
    <x v="2"/>
    <x v="0"/>
    <x v="0"/>
    <x v="2"/>
    <x v="0"/>
    <x v="0"/>
    <x v="0"/>
    <x v="0"/>
    <x v="0"/>
    <x v="0"/>
    <x v="2"/>
    <x v="0"/>
    <x v="0"/>
    <x v="1"/>
    <x v="1"/>
    <x v="1"/>
    <x v="1"/>
    <x v="1"/>
    <x v="0"/>
    <x v="0"/>
    <x v="0"/>
    <x v="0"/>
    <x v="0"/>
    <x v="0"/>
    <x v="0"/>
    <x v="1"/>
    <x v="0"/>
    <x v="1"/>
    <x v="0"/>
    <x v="2"/>
  </r>
  <r>
    <x v="4"/>
    <x v="39"/>
    <x v="0"/>
    <x v="25"/>
    <x v="0"/>
    <x v="0"/>
    <x v="0"/>
    <x v="1"/>
    <x v="1"/>
    <x v="0"/>
    <x v="0"/>
    <x v="2"/>
    <x v="0"/>
    <x v="0"/>
    <x v="2"/>
    <x v="0"/>
    <x v="0"/>
    <x v="0"/>
    <x v="0"/>
    <x v="0"/>
    <x v="0"/>
    <x v="2"/>
    <x v="0"/>
    <x v="0"/>
    <x v="1"/>
    <x v="1"/>
    <x v="1"/>
    <x v="1"/>
    <x v="1"/>
    <x v="0"/>
    <x v="0"/>
    <x v="1"/>
    <x v="0"/>
    <x v="0"/>
    <x v="1"/>
    <x v="0"/>
    <x v="1"/>
    <x v="0"/>
    <x v="1"/>
    <x v="0"/>
    <x v="2"/>
  </r>
  <r>
    <x v="0"/>
    <x v="40"/>
    <x v="0"/>
    <x v="26"/>
    <x v="0"/>
    <x v="0"/>
    <x v="0"/>
    <x v="1"/>
    <x v="1"/>
    <x v="0"/>
    <x v="1"/>
    <x v="2"/>
    <x v="0"/>
    <x v="0"/>
    <x v="2"/>
    <x v="0"/>
    <x v="0"/>
    <x v="0"/>
    <x v="0"/>
    <x v="0"/>
    <x v="2"/>
    <x v="2"/>
    <x v="0"/>
    <x v="0"/>
    <x v="1"/>
    <x v="1"/>
    <x v="1"/>
    <x v="1"/>
    <x v="1"/>
    <x v="0"/>
    <x v="0"/>
    <x v="0"/>
    <x v="0"/>
    <x v="0"/>
    <x v="0"/>
    <x v="0"/>
    <x v="0"/>
    <x v="0"/>
    <x v="0"/>
    <x v="0"/>
    <x v="0"/>
  </r>
  <r>
    <x v="1"/>
    <x v="41"/>
    <x v="0"/>
    <x v="5"/>
    <x v="1"/>
    <x v="0"/>
    <x v="0"/>
    <x v="1"/>
    <x v="1"/>
    <x v="0"/>
    <x v="1"/>
    <x v="2"/>
    <x v="0"/>
    <x v="0"/>
    <x v="2"/>
    <x v="0"/>
    <x v="0"/>
    <x v="0"/>
    <x v="0"/>
    <x v="0"/>
    <x v="2"/>
    <x v="2"/>
    <x v="0"/>
    <x v="0"/>
    <x v="1"/>
    <x v="1"/>
    <x v="1"/>
    <x v="1"/>
    <x v="1"/>
    <x v="0"/>
    <x v="0"/>
    <x v="1"/>
    <x v="0"/>
    <x v="0"/>
    <x v="0"/>
    <x v="0"/>
    <x v="0"/>
    <x v="0"/>
    <x v="1"/>
    <x v="1"/>
    <x v="1"/>
  </r>
  <r>
    <x v="2"/>
    <x v="42"/>
    <x v="0"/>
    <x v="26"/>
    <x v="1"/>
    <x v="0"/>
    <x v="0"/>
    <x v="1"/>
    <x v="1"/>
    <x v="0"/>
    <x v="1"/>
    <x v="2"/>
    <x v="0"/>
    <x v="0"/>
    <x v="2"/>
    <x v="0"/>
    <x v="0"/>
    <x v="0"/>
    <x v="0"/>
    <x v="0"/>
    <x v="2"/>
    <x v="0"/>
    <x v="0"/>
    <x v="0"/>
    <x v="1"/>
    <x v="1"/>
    <x v="1"/>
    <x v="1"/>
    <x v="1"/>
    <x v="0"/>
    <x v="0"/>
    <x v="0"/>
    <x v="0"/>
    <x v="0"/>
    <x v="1"/>
    <x v="0"/>
    <x v="1"/>
    <x v="0"/>
    <x v="1"/>
    <x v="0"/>
    <x v="2"/>
  </r>
  <r>
    <x v="3"/>
    <x v="43"/>
    <x v="0"/>
    <x v="7"/>
    <x v="1"/>
    <x v="0"/>
    <x v="0"/>
    <x v="1"/>
    <x v="1"/>
    <x v="0"/>
    <x v="1"/>
    <x v="2"/>
    <x v="0"/>
    <x v="2"/>
    <x v="0"/>
    <x v="1"/>
    <x v="0"/>
    <x v="0"/>
    <x v="1"/>
    <x v="0"/>
    <x v="2"/>
    <x v="0"/>
    <x v="0"/>
    <x v="0"/>
    <x v="1"/>
    <x v="1"/>
    <x v="1"/>
    <x v="1"/>
    <x v="1"/>
    <x v="0"/>
    <x v="0"/>
    <x v="1"/>
    <x v="0"/>
    <x v="0"/>
    <x v="0"/>
    <x v="0"/>
    <x v="1"/>
    <x v="0"/>
    <x v="1"/>
    <x v="0"/>
    <x v="2"/>
  </r>
  <r>
    <x v="4"/>
    <x v="44"/>
    <x v="0"/>
    <x v="15"/>
    <x v="1"/>
    <x v="0"/>
    <x v="0"/>
    <x v="0"/>
    <x v="1"/>
    <x v="0"/>
    <x v="1"/>
    <x v="2"/>
    <x v="0"/>
    <x v="2"/>
    <x v="0"/>
    <x v="1"/>
    <x v="0"/>
    <x v="0"/>
    <x v="1"/>
    <x v="0"/>
    <x v="2"/>
    <x v="0"/>
    <x v="0"/>
    <x v="0"/>
    <x v="1"/>
    <x v="1"/>
    <x v="1"/>
    <x v="1"/>
    <x v="1"/>
    <x v="0"/>
    <x v="0"/>
    <x v="0"/>
    <x v="0"/>
    <x v="0"/>
    <x v="1"/>
    <x v="0"/>
    <x v="1"/>
    <x v="0"/>
    <x v="1"/>
    <x v="0"/>
    <x v="2"/>
  </r>
  <r>
    <x v="0"/>
    <x v="45"/>
    <x v="0"/>
    <x v="2"/>
    <x v="1"/>
    <x v="0"/>
    <x v="0"/>
    <x v="0"/>
    <x v="1"/>
    <x v="0"/>
    <x v="1"/>
    <x v="3"/>
    <x v="0"/>
    <x v="2"/>
    <x v="0"/>
    <x v="1"/>
    <x v="0"/>
    <x v="0"/>
    <x v="1"/>
    <x v="0"/>
    <x v="2"/>
    <x v="0"/>
    <x v="0"/>
    <x v="1"/>
    <x v="1"/>
    <x v="1"/>
    <x v="1"/>
    <x v="1"/>
    <x v="1"/>
    <x v="0"/>
    <x v="0"/>
    <x v="1"/>
    <x v="0"/>
    <x v="0"/>
    <x v="0"/>
    <x v="0"/>
    <x v="0"/>
    <x v="0"/>
    <x v="0"/>
    <x v="0"/>
    <x v="0"/>
  </r>
  <r>
    <x v="1"/>
    <x v="46"/>
    <x v="0"/>
    <x v="2"/>
    <x v="1"/>
    <x v="0"/>
    <x v="0"/>
    <x v="0"/>
    <x v="2"/>
    <x v="0"/>
    <x v="1"/>
    <x v="3"/>
    <x v="0"/>
    <x v="2"/>
    <x v="0"/>
    <x v="1"/>
    <x v="0"/>
    <x v="0"/>
    <x v="1"/>
    <x v="1"/>
    <x v="2"/>
    <x v="0"/>
    <x v="0"/>
    <x v="1"/>
    <x v="1"/>
    <x v="1"/>
    <x v="1"/>
    <x v="1"/>
    <x v="1"/>
    <x v="0"/>
    <x v="0"/>
    <x v="0"/>
    <x v="0"/>
    <x v="0"/>
    <x v="0"/>
    <x v="0"/>
    <x v="0"/>
    <x v="0"/>
    <x v="1"/>
    <x v="1"/>
    <x v="1"/>
  </r>
  <r>
    <x v="2"/>
    <x v="47"/>
    <x v="0"/>
    <x v="8"/>
    <x v="1"/>
    <x v="0"/>
    <x v="0"/>
    <x v="0"/>
    <x v="2"/>
    <x v="0"/>
    <x v="1"/>
    <x v="3"/>
    <x v="0"/>
    <x v="2"/>
    <x v="0"/>
    <x v="1"/>
    <x v="0"/>
    <x v="0"/>
    <x v="1"/>
    <x v="1"/>
    <x v="2"/>
    <x v="0"/>
    <x v="0"/>
    <x v="1"/>
    <x v="1"/>
    <x v="1"/>
    <x v="1"/>
    <x v="1"/>
    <x v="1"/>
    <x v="0"/>
    <x v="0"/>
    <x v="1"/>
    <x v="0"/>
    <x v="0"/>
    <x v="1"/>
    <x v="0"/>
    <x v="1"/>
    <x v="0"/>
    <x v="1"/>
    <x v="0"/>
    <x v="2"/>
  </r>
  <r>
    <x v="3"/>
    <x v="48"/>
    <x v="0"/>
    <x v="11"/>
    <x v="1"/>
    <x v="0"/>
    <x v="0"/>
    <x v="0"/>
    <x v="2"/>
    <x v="0"/>
    <x v="1"/>
    <x v="3"/>
    <x v="0"/>
    <x v="2"/>
    <x v="0"/>
    <x v="1"/>
    <x v="0"/>
    <x v="0"/>
    <x v="1"/>
    <x v="1"/>
    <x v="2"/>
    <x v="0"/>
    <x v="0"/>
    <x v="1"/>
    <x v="1"/>
    <x v="1"/>
    <x v="1"/>
    <x v="1"/>
    <x v="1"/>
    <x v="0"/>
    <x v="0"/>
    <x v="0"/>
    <x v="0"/>
    <x v="0"/>
    <x v="0"/>
    <x v="0"/>
    <x v="1"/>
    <x v="0"/>
    <x v="1"/>
    <x v="0"/>
    <x v="2"/>
  </r>
  <r>
    <x v="4"/>
    <x v="49"/>
    <x v="0"/>
    <x v="6"/>
    <x v="0"/>
    <x v="0"/>
    <x v="0"/>
    <x v="0"/>
    <x v="2"/>
    <x v="0"/>
    <x v="1"/>
    <x v="3"/>
    <x v="0"/>
    <x v="2"/>
    <x v="0"/>
    <x v="1"/>
    <x v="0"/>
    <x v="0"/>
    <x v="1"/>
    <x v="1"/>
    <x v="2"/>
    <x v="0"/>
    <x v="0"/>
    <x v="1"/>
    <x v="1"/>
    <x v="1"/>
    <x v="1"/>
    <x v="1"/>
    <x v="1"/>
    <x v="0"/>
    <x v="0"/>
    <x v="1"/>
    <x v="0"/>
    <x v="0"/>
    <x v="1"/>
    <x v="0"/>
    <x v="1"/>
    <x v="0"/>
    <x v="1"/>
    <x v="0"/>
    <x v="2"/>
  </r>
  <r>
    <x v="0"/>
    <x v="50"/>
    <x v="0"/>
    <x v="27"/>
    <x v="0"/>
    <x v="0"/>
    <x v="0"/>
    <x v="0"/>
    <x v="2"/>
    <x v="0"/>
    <x v="1"/>
    <x v="3"/>
    <x v="0"/>
    <x v="2"/>
    <x v="0"/>
    <x v="1"/>
    <x v="0"/>
    <x v="0"/>
    <x v="1"/>
    <x v="1"/>
    <x v="2"/>
    <x v="0"/>
    <x v="0"/>
    <x v="1"/>
    <x v="1"/>
    <x v="1"/>
    <x v="1"/>
    <x v="1"/>
    <x v="1"/>
    <x v="0"/>
    <x v="0"/>
    <x v="1"/>
    <x v="0"/>
    <x v="0"/>
    <x v="0"/>
    <x v="0"/>
    <x v="0"/>
    <x v="0"/>
    <x v="0"/>
    <x v="0"/>
    <x v="0"/>
  </r>
  <r>
    <x v="1"/>
    <x v="51"/>
    <x v="0"/>
    <x v="17"/>
    <x v="0"/>
    <x v="0"/>
    <x v="0"/>
    <x v="0"/>
    <x v="2"/>
    <x v="0"/>
    <x v="1"/>
    <x v="3"/>
    <x v="0"/>
    <x v="2"/>
    <x v="0"/>
    <x v="1"/>
    <x v="0"/>
    <x v="0"/>
    <x v="1"/>
    <x v="1"/>
    <x v="2"/>
    <x v="0"/>
    <x v="0"/>
    <x v="1"/>
    <x v="1"/>
    <x v="1"/>
    <x v="1"/>
    <x v="1"/>
    <x v="1"/>
    <x v="0"/>
    <x v="0"/>
    <x v="0"/>
    <x v="0"/>
    <x v="0"/>
    <x v="0"/>
    <x v="0"/>
    <x v="0"/>
    <x v="0"/>
    <x v="1"/>
    <x v="1"/>
    <x v="1"/>
  </r>
  <r>
    <x v="2"/>
    <x v="52"/>
    <x v="0"/>
    <x v="12"/>
    <x v="0"/>
    <x v="0"/>
    <x v="0"/>
    <x v="0"/>
    <x v="2"/>
    <x v="0"/>
    <x v="1"/>
    <x v="3"/>
    <x v="0"/>
    <x v="2"/>
    <x v="0"/>
    <x v="1"/>
    <x v="0"/>
    <x v="0"/>
    <x v="1"/>
    <x v="1"/>
    <x v="2"/>
    <x v="0"/>
    <x v="0"/>
    <x v="1"/>
    <x v="1"/>
    <x v="1"/>
    <x v="1"/>
    <x v="1"/>
    <x v="1"/>
    <x v="0"/>
    <x v="0"/>
    <x v="1"/>
    <x v="0"/>
    <x v="0"/>
    <x v="1"/>
    <x v="0"/>
    <x v="1"/>
    <x v="0"/>
    <x v="1"/>
    <x v="0"/>
    <x v="2"/>
  </r>
  <r>
    <x v="3"/>
    <x v="53"/>
    <x v="0"/>
    <x v="11"/>
    <x v="0"/>
    <x v="0"/>
    <x v="0"/>
    <x v="0"/>
    <x v="2"/>
    <x v="0"/>
    <x v="1"/>
    <x v="3"/>
    <x v="0"/>
    <x v="2"/>
    <x v="0"/>
    <x v="1"/>
    <x v="0"/>
    <x v="0"/>
    <x v="1"/>
    <x v="1"/>
    <x v="2"/>
    <x v="0"/>
    <x v="0"/>
    <x v="1"/>
    <x v="1"/>
    <x v="1"/>
    <x v="1"/>
    <x v="1"/>
    <x v="1"/>
    <x v="0"/>
    <x v="0"/>
    <x v="0"/>
    <x v="0"/>
    <x v="0"/>
    <x v="0"/>
    <x v="0"/>
    <x v="1"/>
    <x v="0"/>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340A7A-C5CE-453F-A82B-FC30E3ACF7AC}"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F2:H6" firstHeaderRow="1" firstDataRow="2" firstDataCol="1"/>
  <pivotFields count="41">
    <pivotField compact="0" numFmtId="14" outline="0" showAll="0"/>
    <pivotField dataField="1" compact="0" outline="0" showAll="0"/>
    <pivotField compact="0" outline="0" showAll="0"/>
    <pivotField compact="0" numFmtId="1"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numFmtId="1" outline="0" showAll="0"/>
    <pivotField compact="0" outline="0" showAll="0"/>
    <pivotField axis="axisRow" compact="0" outline="0" showAll="0">
      <items count="3">
        <item x="1"/>
        <item x="0"/>
        <item t="default"/>
      </items>
    </pivotField>
    <pivotField axis="axisCol"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s>
  <rowFields count="1">
    <field x="34"/>
  </rowFields>
  <rowItems count="3">
    <i>
      <x/>
    </i>
    <i>
      <x v="1"/>
    </i>
    <i t="grand">
      <x/>
    </i>
  </rowItems>
  <colFields count="1">
    <field x="35"/>
  </colFields>
  <colItems count="2">
    <i>
      <x/>
    </i>
    <i t="grand">
      <x/>
    </i>
  </colItems>
  <dataFields count="1">
    <dataField name="Count of Respondent ID" fld="1" subtotal="count" baseField="0" baseItem="0"/>
  </dataFields>
  <chartFormats count="1">
    <chartFormat chart="4" format="2" series="1">
      <pivotArea type="data" outline="0" fieldPosition="0">
        <references count="2">
          <reference field="4294967294" count="1" selected="0">
            <x v="0"/>
          </reference>
          <reference field="3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0FB7D5-6D23-4887-86E8-A7B15E288BEF}"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F16:K19" firstHeaderRow="1" firstDataRow="2" firstDataCol="1"/>
  <pivotFields count="41">
    <pivotField compact="0" numFmtId="14" outline="0" showAll="0"/>
    <pivotField dataField="1" compact="0" outline="0" showAll="0"/>
    <pivotField compact="0" outline="0" showAll="0"/>
    <pivotField compact="0" numFmtId="1" outline="0" showAll="0"/>
    <pivotField compact="0" outline="0" showAll="0">
      <items count="3">
        <item x="1"/>
        <item x="0"/>
        <item t="default"/>
      </items>
    </pivotField>
    <pivotField axis="axisRow" compact="0" outline="0" showAll="0">
      <items count="2">
        <item x="0"/>
        <item t="default"/>
      </items>
    </pivotField>
    <pivotField compact="0" outline="0" showAll="0"/>
    <pivotField compact="0" outline="0" showAll="0"/>
    <pivotField compact="0" outline="0" showAll="0"/>
    <pivotField compact="0" outline="0" showAll="0"/>
    <pivotField compact="0" numFmtId="1" outline="0" showAll="0"/>
    <pivotField axis="axisCol" compact="0" outline="0" showAll="0">
      <items count="5">
        <item x="1"/>
        <item x="0"/>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2">
    <i>
      <x/>
    </i>
    <i t="grand">
      <x/>
    </i>
  </rowItems>
  <colFields count="1">
    <field x="11"/>
  </colFields>
  <colItems count="5">
    <i>
      <x/>
    </i>
    <i>
      <x v="1"/>
    </i>
    <i>
      <x v="2"/>
    </i>
    <i>
      <x v="3"/>
    </i>
    <i t="grand">
      <x/>
    </i>
  </colItems>
  <dataFields count="1">
    <dataField name="Count of Respondent ID" fld="1" subtotal="count" baseField="0" baseItem="0"/>
  </dataFields>
  <chartFormats count="4">
    <chartFormat chart="3" format="8" series="1">
      <pivotArea type="data" outline="0" fieldPosition="0">
        <references count="2">
          <reference field="4294967294" count="1" selected="0">
            <x v="0"/>
          </reference>
          <reference field="11" count="1" selected="0">
            <x v="0"/>
          </reference>
        </references>
      </pivotArea>
    </chartFormat>
    <chartFormat chart="3" format="9" series="1">
      <pivotArea type="data" outline="0" fieldPosition="0">
        <references count="2">
          <reference field="4294967294" count="1" selected="0">
            <x v="0"/>
          </reference>
          <reference field="11" count="1" selected="0">
            <x v="1"/>
          </reference>
        </references>
      </pivotArea>
    </chartFormat>
    <chartFormat chart="3" format="10" series="1">
      <pivotArea type="data" outline="0" fieldPosition="0">
        <references count="2">
          <reference field="4294967294" count="1" selected="0">
            <x v="0"/>
          </reference>
          <reference field="11" count="1" selected="0">
            <x v="2"/>
          </reference>
        </references>
      </pivotArea>
    </chartFormat>
    <chartFormat chart="3"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D1C78A-8024-4D6A-867E-D5A9063E92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D22" firstHeaderRow="1" firstDataRow="2" firstDataCol="1"/>
  <pivotFields count="41">
    <pivotField numFmtId="14" showAll="0"/>
    <pivotField dataField="1" showAll="0"/>
    <pivotField showAll="0"/>
    <pivotField numFmtId="1" showAll="0"/>
    <pivotField showAll="0">
      <items count="3">
        <item x="1"/>
        <item x="0"/>
        <item t="default"/>
      </items>
    </pivotField>
    <pivotField showAll="0"/>
    <pivotField showAll="0"/>
    <pivotField showAll="0"/>
    <pivotField showAll="0"/>
    <pivotField showAll="0"/>
    <pivotField numFmtId="1" showAll="0"/>
    <pivotField axis="axisRow"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numFmtId="1"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Fields count="1">
    <field x="29"/>
  </colFields>
  <colItems count="3">
    <i>
      <x/>
    </i>
    <i>
      <x v="1"/>
    </i>
    <i t="grand">
      <x/>
    </i>
  </colItems>
  <dataFields count="1">
    <dataField name="Count of Respondent ID" fld="1" subtotal="count" baseField="0" baseItem="0"/>
  </dataFields>
  <chartFormats count="2">
    <chartFormat chart="3" format="4" series="1">
      <pivotArea type="data" outline="0" fieldPosition="0">
        <references count="2">
          <reference field="4294967294" count="1" selected="0">
            <x v="0"/>
          </reference>
          <reference field="29" count="1" selected="0">
            <x v="0"/>
          </reference>
        </references>
      </pivotArea>
    </chartFormat>
    <chartFormat chart="3" format="5" series="1">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BEC8EB-EA00-4111-9C8E-FFC69564C8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9:H13" firstHeaderRow="1" firstDataRow="2" firstDataCol="1"/>
  <pivotFields count="41">
    <pivotField numFmtId="14" showAll="0"/>
    <pivotField dataField="1" showAll="0"/>
    <pivotField showAll="0"/>
    <pivotField numFmtId="1" showAll="0"/>
    <pivotField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numFmtId="1" showAll="0"/>
    <pivotField showAll="0"/>
    <pivotField axis="axisRow" showAll="0">
      <items count="3">
        <item x="1"/>
        <item x="0"/>
        <item t="default"/>
      </items>
    </pivotField>
    <pivotField showAll="0"/>
    <pivotField showAll="0"/>
    <pivotField axis="axisCol" showAll="0">
      <items count="2">
        <item x="0"/>
        <item t="default"/>
      </items>
    </pivotField>
    <pivotField showAll="0"/>
    <pivotField showAll="0"/>
    <pivotField showAll="0"/>
  </pivotFields>
  <rowFields count="1">
    <field x="34"/>
  </rowFields>
  <rowItems count="3">
    <i>
      <x/>
    </i>
    <i>
      <x v="1"/>
    </i>
    <i t="grand">
      <x/>
    </i>
  </rowItems>
  <colFields count="1">
    <field x="37"/>
  </colFields>
  <colItems count="2">
    <i>
      <x/>
    </i>
    <i t="grand">
      <x/>
    </i>
  </colItems>
  <dataFields count="1">
    <dataField name="Count of Respondent ID" fld="1" subtotal="count" baseField="0" baseItem="0"/>
  </dataFields>
  <chartFormats count="1">
    <chartFormat chart="6" format="2" series="1">
      <pivotArea type="data" outline="0" fieldPosition="0">
        <references count="2">
          <reference field="4294967294" count="1" selected="0">
            <x v="0"/>
          </reference>
          <reference field="3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03FA74-0CF5-4B15-8C43-6573BA0C84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5:D31" firstHeaderRow="1" firstDataRow="2" firstDataCol="1"/>
  <pivotFields count="41">
    <pivotField numFmtId="14" showAll="0"/>
    <pivotField dataField="1" showAll="0"/>
    <pivotField showAll="0"/>
    <pivotField numFmtId="1" showAll="0"/>
    <pivotField showAll="0">
      <items count="3">
        <item x="1"/>
        <item x="0"/>
        <item t="default"/>
      </items>
    </pivotField>
    <pivotField showAll="0"/>
    <pivotField showAll="0"/>
    <pivotField showAll="0"/>
    <pivotField showAll="0"/>
    <pivotField showAll="0"/>
    <pivotField numFmtId="1" showAll="0"/>
    <pivotField axis="axisRow"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Col" showAll="0">
      <items count="3">
        <item x="0"/>
        <item x="1"/>
        <item t="default"/>
      </items>
    </pivotField>
    <pivotField numFmtId="1"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Fields count="1">
    <field x="31"/>
  </colFields>
  <colItems count="3">
    <i>
      <x/>
    </i>
    <i>
      <x v="1"/>
    </i>
    <i t="grand">
      <x/>
    </i>
  </colItems>
  <dataFields count="1">
    <dataField name="Count of Respondent ID" fld="1" subtotal="count" baseField="0" baseItem="0"/>
  </dataFields>
  <chartFormats count="10">
    <chartFormat chart="3" format="12" series="1">
      <pivotArea type="data" outline="0" fieldPosition="0">
        <references count="2">
          <reference field="4294967294" count="1" selected="0">
            <x v="0"/>
          </reference>
          <reference field="31" count="1" selected="0">
            <x v="0"/>
          </reference>
        </references>
      </pivotArea>
    </chartFormat>
    <chartFormat chart="3" format="13">
      <pivotArea type="data" outline="0" fieldPosition="0">
        <references count="3">
          <reference field="4294967294" count="1" selected="0">
            <x v="0"/>
          </reference>
          <reference field="11" count="1" selected="0">
            <x v="0"/>
          </reference>
          <reference field="31" count="1" selected="0">
            <x v="0"/>
          </reference>
        </references>
      </pivotArea>
    </chartFormat>
    <chartFormat chart="3" format="14">
      <pivotArea type="data" outline="0" fieldPosition="0">
        <references count="3">
          <reference field="4294967294" count="1" selected="0">
            <x v="0"/>
          </reference>
          <reference field="11" count="1" selected="0">
            <x v="1"/>
          </reference>
          <reference field="31" count="1" selected="0">
            <x v="0"/>
          </reference>
        </references>
      </pivotArea>
    </chartFormat>
    <chartFormat chart="3" format="15">
      <pivotArea type="data" outline="0" fieldPosition="0">
        <references count="3">
          <reference field="4294967294" count="1" selected="0">
            <x v="0"/>
          </reference>
          <reference field="11" count="1" selected="0">
            <x v="2"/>
          </reference>
          <reference field="31" count="1" selected="0">
            <x v="0"/>
          </reference>
        </references>
      </pivotArea>
    </chartFormat>
    <chartFormat chart="3" format="16">
      <pivotArea type="data" outline="0" fieldPosition="0">
        <references count="3">
          <reference field="4294967294" count="1" selected="0">
            <x v="0"/>
          </reference>
          <reference field="11" count="1" selected="0">
            <x v="3"/>
          </reference>
          <reference field="31" count="1" selected="0">
            <x v="0"/>
          </reference>
        </references>
      </pivotArea>
    </chartFormat>
    <chartFormat chart="3" format="17" series="1">
      <pivotArea type="data" outline="0" fieldPosition="0">
        <references count="2">
          <reference field="4294967294" count="1" selected="0">
            <x v="0"/>
          </reference>
          <reference field="31" count="1" selected="0">
            <x v="1"/>
          </reference>
        </references>
      </pivotArea>
    </chartFormat>
    <chartFormat chart="3" format="18">
      <pivotArea type="data" outline="0" fieldPosition="0">
        <references count="3">
          <reference field="4294967294" count="1" selected="0">
            <x v="0"/>
          </reference>
          <reference field="11" count="1" selected="0">
            <x v="0"/>
          </reference>
          <reference field="31" count="1" selected="0">
            <x v="1"/>
          </reference>
        </references>
      </pivotArea>
    </chartFormat>
    <chartFormat chart="3" format="19">
      <pivotArea type="data" outline="0" fieldPosition="0">
        <references count="3">
          <reference field="4294967294" count="1" selected="0">
            <x v="0"/>
          </reference>
          <reference field="11" count="1" selected="0">
            <x v="1"/>
          </reference>
          <reference field="31" count="1" selected="0">
            <x v="1"/>
          </reference>
        </references>
      </pivotArea>
    </chartFormat>
    <chartFormat chart="3" format="20">
      <pivotArea type="data" outline="0" fieldPosition="0">
        <references count="3">
          <reference field="4294967294" count="1" selected="0">
            <x v="0"/>
          </reference>
          <reference field="11" count="1" selected="0">
            <x v="2"/>
          </reference>
          <reference field="31" count="1" selected="0">
            <x v="1"/>
          </reference>
        </references>
      </pivotArea>
    </chartFormat>
    <chartFormat chart="3" format="21">
      <pivotArea type="data" outline="0" fieldPosition="0">
        <references count="3">
          <reference field="4294967294" count="1" selected="0">
            <x v="0"/>
          </reference>
          <reference field="11" count="1" selected="0">
            <x v="3"/>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14789B-4DD3-433B-8907-69CAF407C0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D13" firstHeaderRow="1" firstDataRow="2" firstDataCol="1"/>
  <pivotFields count="41">
    <pivotField numFmtId="14" showAll="0"/>
    <pivotField dataField="1" showAll="0"/>
    <pivotField showAll="0"/>
    <pivotField numFmtId="1" showAll="0"/>
    <pivotField showAll="0">
      <items count="3">
        <item x="1"/>
        <item x="0"/>
        <item t="default"/>
      </items>
    </pivotField>
    <pivotField showAll="0">
      <items count="2">
        <item x="0"/>
        <item t="default"/>
      </items>
    </pivotField>
    <pivotField showAll="0"/>
    <pivotField axis="axisRow" showAll="0">
      <items count="3">
        <item x="1"/>
        <item x="0"/>
        <item t="default"/>
      </items>
    </pivotField>
    <pivotField showAll="0"/>
    <pivotField showAll="0"/>
    <pivotField numFmtId="1" showAll="0"/>
    <pivotField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numFmtId="1"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29"/>
  </colFields>
  <colItems count="3">
    <i>
      <x/>
    </i>
    <i>
      <x v="1"/>
    </i>
    <i t="grand">
      <x/>
    </i>
  </colItems>
  <dataFields count="1">
    <dataField name="Count of Respondent ID" fld="1" subtotal="count" baseField="0" baseItem="0"/>
  </dataFields>
  <chartFormats count="2">
    <chartFormat chart="3" format="4" series="1">
      <pivotArea type="data" outline="0" fieldPosition="0">
        <references count="2">
          <reference field="4294967294" count="1" selected="0">
            <x v="0"/>
          </reference>
          <reference field="29" count="1" selected="0">
            <x v="0"/>
          </reference>
        </references>
      </pivotArea>
    </chartFormat>
    <chartFormat chart="3" format="5" series="1">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FF3B84-9D75-4B33-A2DF-79BE50BD178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2:D6" firstHeaderRow="1" firstDataRow="2" firstDataCol="1"/>
  <pivotFields count="41">
    <pivotField compact="0" numFmtId="14" outline="0" showAll="0" defaultSubtotal="0"/>
    <pivotField dataField="1" compact="0" outline="0" showAll="0" defaultSubtotal="0"/>
    <pivotField compact="0" outline="0" showAll="0" defaultSubtotal="0"/>
    <pivotField compact="0" numFmtId="1" outline="0" showAll="0" defaultSubtotal="0"/>
    <pivotField axis="axisRow" compact="0" outline="0" showAll="0" defaultSubtotal="0">
      <items count="2">
        <item x="1"/>
        <item x="0"/>
      </items>
    </pivotField>
    <pivotField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items count="4">
        <item x="1"/>
        <item x="0"/>
        <item x="3"/>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1"/>
        <item x="0"/>
      </items>
    </pivotField>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3">
    <i>
      <x/>
    </i>
    <i>
      <x v="1"/>
    </i>
    <i t="grand">
      <x/>
    </i>
  </rowItems>
  <colFields count="1">
    <field x="29"/>
  </colFields>
  <colItems count="3">
    <i>
      <x/>
    </i>
    <i>
      <x v="1"/>
    </i>
    <i t="grand">
      <x/>
    </i>
  </colItems>
  <dataFields count="1">
    <dataField name="Count of Respondent ID" fld="1" subtotal="count" baseField="0" baseItem="0"/>
  </dataFields>
  <chartFormats count="6">
    <chartFormat chart="3" format="8" series="1">
      <pivotArea type="data" outline="0" fieldPosition="0">
        <references count="2">
          <reference field="4294967294" count="1" selected="0">
            <x v="0"/>
          </reference>
          <reference field="29" count="1" selected="0">
            <x v="0"/>
          </reference>
        </references>
      </pivotArea>
    </chartFormat>
    <chartFormat chart="3" format="9">
      <pivotArea type="data" outline="0" fieldPosition="0">
        <references count="3">
          <reference field="4294967294" count="1" selected="0">
            <x v="0"/>
          </reference>
          <reference field="4" count="1" selected="0">
            <x v="0"/>
          </reference>
          <reference field="29" count="1" selected="0">
            <x v="0"/>
          </reference>
        </references>
      </pivotArea>
    </chartFormat>
    <chartFormat chart="3" format="10">
      <pivotArea type="data" outline="0" fieldPosition="0">
        <references count="3">
          <reference field="4294967294" count="1" selected="0">
            <x v="0"/>
          </reference>
          <reference field="4" count="1" selected="0">
            <x v="1"/>
          </reference>
          <reference field="29" count="1" selected="0">
            <x v="0"/>
          </reference>
        </references>
      </pivotArea>
    </chartFormat>
    <chartFormat chart="3" format="11" series="1">
      <pivotArea type="data" outline="0" fieldPosition="0">
        <references count="2">
          <reference field="4294967294" count="1" selected="0">
            <x v="0"/>
          </reference>
          <reference field="29" count="1" selected="0">
            <x v="1"/>
          </reference>
        </references>
      </pivotArea>
    </chartFormat>
    <chartFormat chart="3" format="12">
      <pivotArea type="data" outline="0" fieldPosition="0">
        <references count="3">
          <reference field="4294967294" count="1" selected="0">
            <x v="0"/>
          </reference>
          <reference field="4" count="1" selected="0">
            <x v="0"/>
          </reference>
          <reference field="29" count="1" selected="0">
            <x v="1"/>
          </reference>
        </references>
      </pivotArea>
    </chartFormat>
    <chartFormat chart="3" format="13">
      <pivotArea type="data" outline="0" fieldPosition="0">
        <references count="3">
          <reference field="4294967294" count="1" selected="0">
            <x v="0"/>
          </reference>
          <reference field="4" count="1" selected="0">
            <x v="1"/>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602F19-609C-419E-8C73-52F9390BD921}" sourceName="Gender">
  <pivotTables>
    <pivotTable tabId="6" name="PivotTable2"/>
    <pivotTable tabId="6" name="PivotTable3"/>
  </pivotTables>
  <data>
    <tabular pivotCacheId="18236566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e_Completed" xr10:uid="{D78EAB45-A6E3-42CB-A2AC-7AA500FA00D6}" sourceName="Trade Completed">
  <pivotTables>
    <pivotTable tabId="6" name="PivotTable4"/>
    <pivotTable tabId="6" name="PivotTable2"/>
    <pivotTable tabId="6" name="PivotTable3"/>
  </pivotTables>
  <data>
    <tabular pivotCacheId="1823656603">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033A31D-D8E3-41B0-8435-ABF974C27F9E}" sourceName="State">
  <pivotTables>
    <pivotTable tabId="6" name="PivotTable8"/>
    <pivotTable tabId="6" name="PivotTable2"/>
    <pivotTable tabId="6" name="PivotTable3"/>
  </pivotTables>
  <data>
    <tabular pivotCacheId="1823656603">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F53567D-4233-4A57-80D3-CE0FFFAB851D}" cache="Slicer_Gender" caption="Gender" columnCount="2" style="Slicer Style 1" rowHeight="182880"/>
  <slicer name="Trade Completed" xr10:uid="{369813C3-D98A-4855-91FC-598AA6DF7A1F}" cache="Slicer_Trade_Completed" caption="Trade Completed" columnCount="4" style="Slicer Style 1" rowHeight="182880"/>
  <slicer name="State" xr10:uid="{E2FD2A0A-5570-4C32-91CE-2BC78B416288}" cache="Slicer_State" caption="State" style="Slicer Style 1" rowHeight="182880"/>
</slicers>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5"/>
  <sheetViews>
    <sheetView zoomScaleNormal="100" workbookViewId="0">
      <selection activeCell="AR2" sqref="AR2"/>
    </sheetView>
  </sheetViews>
  <sheetFormatPr defaultRowHeight="14.4" x14ac:dyDescent="0.3"/>
  <cols>
    <col min="1" max="1" width="14.59765625" style="6" bestFit="1" customWidth="1"/>
    <col min="2" max="2" width="22.09765625" customWidth="1"/>
    <col min="3" max="3" width="7.5" bestFit="1" customWidth="1"/>
    <col min="4" max="4" width="6.296875" style="4" customWidth="1"/>
    <col min="7" max="7" width="12.5" bestFit="1" customWidth="1"/>
    <col min="8" max="8" width="25.8984375" bestFit="1" customWidth="1"/>
    <col min="9" max="9" width="18.19921875" bestFit="1" customWidth="1"/>
    <col min="10" max="10" width="16.69921875" bestFit="1" customWidth="1"/>
    <col min="11" max="11" width="15.09765625" style="4" bestFit="1" customWidth="1"/>
    <col min="12" max="12" width="16.8984375" bestFit="1" customWidth="1"/>
    <col min="13" max="13" width="17.19921875" bestFit="1" customWidth="1"/>
    <col min="14" max="14" width="20.19921875" bestFit="1" customWidth="1"/>
    <col min="15" max="15" width="21.296875" bestFit="1" customWidth="1"/>
    <col min="16" max="16" width="23.59765625" bestFit="1" customWidth="1"/>
    <col min="17" max="17" width="26.8984375" bestFit="1" customWidth="1"/>
    <col min="18" max="18" width="20" bestFit="1" customWidth="1"/>
    <col min="19" max="19" width="20.8984375" bestFit="1" customWidth="1"/>
    <col min="20" max="20" width="17.09765625" bestFit="1" customWidth="1"/>
    <col min="21" max="21" width="18.09765625" bestFit="1" customWidth="1"/>
    <col min="22" max="22" width="16.69921875" bestFit="1" customWidth="1"/>
    <col min="23" max="23" width="21.796875" bestFit="1" customWidth="1"/>
    <col min="24" max="24" width="22.69921875" bestFit="1" customWidth="1"/>
    <col min="25" max="25" width="21.796875" bestFit="1" customWidth="1"/>
    <col min="26" max="26" width="19.3984375" bestFit="1" customWidth="1"/>
    <col min="27" max="27" width="15.3984375" bestFit="1" customWidth="1"/>
    <col min="28" max="28" width="14.3984375" bestFit="1" customWidth="1"/>
    <col min="29" max="29" width="26.19921875" bestFit="1" customWidth="1"/>
    <col min="30" max="30" width="19.09765625" bestFit="1" customWidth="1"/>
    <col min="31" max="31" width="22.19921875" bestFit="1" customWidth="1"/>
    <col min="32" max="32" width="21" bestFit="1" customWidth="1"/>
    <col min="33" max="33" width="21.59765625" style="4" bestFit="1" customWidth="1"/>
    <col min="34" max="34" width="19.796875" bestFit="1" customWidth="1"/>
    <col min="35" max="35" width="18.796875" bestFit="1" customWidth="1"/>
    <col min="36" max="36" width="24" bestFit="1" customWidth="1"/>
    <col min="37" max="37" width="28.59765625" bestFit="1" customWidth="1"/>
    <col min="38" max="38" width="19.5" bestFit="1" customWidth="1"/>
    <col min="39" max="39" width="16" bestFit="1" customWidth="1"/>
    <col min="40" max="40" width="19" bestFit="1" customWidth="1"/>
    <col min="41" max="41" width="24.09765625" bestFit="1" customWidth="1"/>
  </cols>
  <sheetData>
    <row r="1" spans="1:41" ht="16.100000000000001" x14ac:dyDescent="0.3">
      <c r="A1" s="7" t="s">
        <v>23</v>
      </c>
      <c r="B1" s="8" t="s">
        <v>24</v>
      </c>
      <c r="C1" s="8" t="s">
        <v>75</v>
      </c>
      <c r="D1" s="9" t="s">
        <v>113</v>
      </c>
      <c r="E1" s="8" t="s">
        <v>76</v>
      </c>
      <c r="F1" s="8" t="s">
        <v>77</v>
      </c>
      <c r="G1" s="8" t="s">
        <v>78</v>
      </c>
      <c r="H1" s="8" t="s">
        <v>80</v>
      </c>
      <c r="I1" s="8" t="s">
        <v>79</v>
      </c>
      <c r="J1" s="8" t="s">
        <v>81</v>
      </c>
      <c r="K1" s="9" t="s">
        <v>82</v>
      </c>
      <c r="L1" s="8" t="s">
        <v>83</v>
      </c>
      <c r="M1" s="8" t="s">
        <v>84</v>
      </c>
      <c r="N1" s="8" t="s">
        <v>85</v>
      </c>
      <c r="O1" s="8" t="s">
        <v>86</v>
      </c>
      <c r="P1" s="8" t="s">
        <v>87</v>
      </c>
      <c r="Q1" s="8" t="s">
        <v>88</v>
      </c>
      <c r="R1" s="8" t="s">
        <v>89</v>
      </c>
      <c r="S1" s="8" t="s">
        <v>90</v>
      </c>
      <c r="T1" s="8" t="s">
        <v>91</v>
      </c>
      <c r="U1" s="8" t="s">
        <v>92</v>
      </c>
      <c r="V1" s="8" t="s">
        <v>93</v>
      </c>
      <c r="W1" s="8" t="s">
        <v>94</v>
      </c>
      <c r="X1" s="8" t="s">
        <v>95</v>
      </c>
      <c r="Y1" s="8" t="s">
        <v>96</v>
      </c>
      <c r="Z1" s="8" t="s">
        <v>97</v>
      </c>
      <c r="AA1" s="8" t="s">
        <v>98</v>
      </c>
      <c r="AB1" s="8" t="s">
        <v>99</v>
      </c>
      <c r="AC1" s="8" t="s">
        <v>100</v>
      </c>
      <c r="AD1" s="8" t="s">
        <v>101</v>
      </c>
      <c r="AE1" s="8" t="s">
        <v>102</v>
      </c>
      <c r="AF1" s="8" t="s">
        <v>103</v>
      </c>
      <c r="AG1" s="9" t="s">
        <v>104</v>
      </c>
      <c r="AH1" s="8" t="s">
        <v>105</v>
      </c>
      <c r="AI1" s="8" t="s">
        <v>106</v>
      </c>
      <c r="AJ1" s="8" t="s">
        <v>107</v>
      </c>
      <c r="AK1" s="8" t="s">
        <v>108</v>
      </c>
      <c r="AL1" s="8" t="s">
        <v>109</v>
      </c>
      <c r="AM1" s="8" t="s">
        <v>110</v>
      </c>
      <c r="AN1" s="8" t="s">
        <v>111</v>
      </c>
      <c r="AO1" s="8" t="s">
        <v>112</v>
      </c>
    </row>
    <row r="2" spans="1:41" x14ac:dyDescent="0.3">
      <c r="A2" s="5">
        <v>46228</v>
      </c>
      <c r="B2" s="1" t="s">
        <v>0</v>
      </c>
      <c r="C2" s="1" t="s">
        <v>154</v>
      </c>
      <c r="D2" s="3">
        <v>30</v>
      </c>
      <c r="E2" s="1" t="s">
        <v>137</v>
      </c>
      <c r="F2" s="1" t="s">
        <v>3</v>
      </c>
      <c r="G2" s="1" t="s">
        <v>4</v>
      </c>
      <c r="H2" s="1" t="s">
        <v>151</v>
      </c>
      <c r="I2" s="1" t="s">
        <v>165</v>
      </c>
      <c r="J2" s="1" t="s">
        <v>153</v>
      </c>
      <c r="K2" s="3">
        <v>1</v>
      </c>
      <c r="L2" s="1" t="s">
        <v>171</v>
      </c>
      <c r="M2" s="1" t="s">
        <v>8</v>
      </c>
      <c r="N2" s="1" t="s">
        <v>172</v>
      </c>
      <c r="O2" s="1" t="s">
        <v>175</v>
      </c>
      <c r="P2" s="1" t="s">
        <v>178</v>
      </c>
      <c r="Q2" s="1" t="s">
        <v>180</v>
      </c>
      <c r="R2" s="1" t="s">
        <v>181</v>
      </c>
      <c r="S2" s="1" t="s">
        <v>182</v>
      </c>
      <c r="T2" s="1" t="s">
        <v>182</v>
      </c>
      <c r="U2" s="1" t="s">
        <v>183</v>
      </c>
      <c r="V2" s="1" t="s">
        <v>182</v>
      </c>
      <c r="W2" s="1" t="s">
        <v>183</v>
      </c>
      <c r="X2" s="1" t="s">
        <v>182</v>
      </c>
      <c r="Y2" s="1" t="s">
        <v>182</v>
      </c>
      <c r="Z2" s="1" t="s">
        <v>184</v>
      </c>
      <c r="AA2" s="1" t="s">
        <v>182</v>
      </c>
      <c r="AB2" s="1" t="s">
        <v>184</v>
      </c>
      <c r="AC2" s="1" t="s">
        <v>182</v>
      </c>
      <c r="AD2" s="1" t="s">
        <v>153</v>
      </c>
      <c r="AE2" s="1" t="s">
        <v>154</v>
      </c>
      <c r="AF2" s="1" t="s">
        <v>181</v>
      </c>
      <c r="AG2" s="3" t="s">
        <v>185</v>
      </c>
      <c r="AH2" s="2" t="s">
        <v>182</v>
      </c>
      <c r="AI2" s="1" t="s">
        <v>182</v>
      </c>
      <c r="AJ2" s="1" t="s">
        <v>154</v>
      </c>
      <c r="AK2" s="1" t="s">
        <v>186</v>
      </c>
      <c r="AL2" s="1" t="s">
        <v>154</v>
      </c>
      <c r="AM2" s="1" t="s">
        <v>187</v>
      </c>
      <c r="AN2" s="1" t="s">
        <v>188</v>
      </c>
      <c r="AO2" s="1" t="s">
        <v>189</v>
      </c>
    </row>
    <row r="3" spans="1:41" x14ac:dyDescent="0.3">
      <c r="A3" s="5">
        <v>46023</v>
      </c>
      <c r="B3" s="1" t="s">
        <v>12</v>
      </c>
      <c r="C3" s="1" t="s">
        <v>154</v>
      </c>
      <c r="D3" s="3">
        <v>35</v>
      </c>
      <c r="E3" s="1" t="s">
        <v>137</v>
      </c>
      <c r="F3" s="1" t="s">
        <v>3</v>
      </c>
      <c r="G3" s="1" t="s">
        <v>4</v>
      </c>
      <c r="H3" s="1" t="s">
        <v>150</v>
      </c>
      <c r="I3" s="1" t="s">
        <v>166</v>
      </c>
      <c r="J3" s="1" t="s">
        <v>153</v>
      </c>
      <c r="K3" s="3">
        <v>1</v>
      </c>
      <c r="L3" s="1" t="s">
        <v>168</v>
      </c>
      <c r="M3" s="1" t="s">
        <v>8</v>
      </c>
      <c r="N3" s="1" t="s">
        <v>173</v>
      </c>
      <c r="O3" s="1" t="s">
        <v>176</v>
      </c>
      <c r="P3" s="1" t="s">
        <v>179</v>
      </c>
      <c r="Q3" s="1" t="s">
        <v>180</v>
      </c>
      <c r="R3" s="1" t="s">
        <v>181</v>
      </c>
      <c r="S3" s="1" t="s">
        <v>183</v>
      </c>
      <c r="T3" s="1" t="s">
        <v>182</v>
      </c>
      <c r="U3" s="1" t="s">
        <v>183</v>
      </c>
      <c r="V3" s="1" t="s">
        <v>190</v>
      </c>
      <c r="W3" s="1" t="s">
        <v>183</v>
      </c>
      <c r="X3" s="1" t="s">
        <v>182</v>
      </c>
      <c r="Y3" s="1" t="s">
        <v>183</v>
      </c>
      <c r="Z3" s="1" t="s">
        <v>182</v>
      </c>
      <c r="AA3" s="1" t="s">
        <v>183</v>
      </c>
      <c r="AB3" s="1" t="s">
        <v>182</v>
      </c>
      <c r="AC3" s="1" t="s">
        <v>184</v>
      </c>
      <c r="AD3" s="1" t="s">
        <v>153</v>
      </c>
      <c r="AE3" s="1" t="s">
        <v>154</v>
      </c>
      <c r="AF3" s="1" t="s">
        <v>191</v>
      </c>
      <c r="AG3" s="3" t="s">
        <v>185</v>
      </c>
      <c r="AH3" s="2" t="s">
        <v>182</v>
      </c>
      <c r="AI3" s="1" t="s">
        <v>182</v>
      </c>
      <c r="AJ3" s="1" t="s">
        <v>154</v>
      </c>
      <c r="AK3" s="1" t="s">
        <v>186</v>
      </c>
      <c r="AL3" s="1" t="s">
        <v>154</v>
      </c>
      <c r="AM3" s="1" t="s">
        <v>192</v>
      </c>
      <c r="AN3" s="1" t="s">
        <v>193</v>
      </c>
      <c r="AO3" s="1" t="s">
        <v>194</v>
      </c>
    </row>
    <row r="4" spans="1:41" x14ac:dyDescent="0.3">
      <c r="A4" s="5">
        <v>46025</v>
      </c>
      <c r="B4" s="1" t="s">
        <v>16</v>
      </c>
      <c r="C4" s="1" t="s">
        <v>154</v>
      </c>
      <c r="D4" s="3">
        <v>22</v>
      </c>
      <c r="E4" s="1" t="s">
        <v>138</v>
      </c>
      <c r="F4" s="1" t="s">
        <v>3</v>
      </c>
      <c r="G4" s="1" t="s">
        <v>4</v>
      </c>
      <c r="H4" s="1" t="s">
        <v>150</v>
      </c>
      <c r="I4" s="1" t="s">
        <v>167</v>
      </c>
      <c r="J4" s="1" t="s">
        <v>153</v>
      </c>
      <c r="K4" s="3">
        <v>1</v>
      </c>
      <c r="L4" s="1" t="s">
        <v>169</v>
      </c>
      <c r="M4" s="1" t="s">
        <v>19</v>
      </c>
      <c r="N4" s="1" t="s">
        <v>174</v>
      </c>
      <c r="O4" s="1" t="s">
        <v>177</v>
      </c>
      <c r="P4" s="1" t="s">
        <v>179</v>
      </c>
      <c r="Q4" s="1" t="s">
        <v>180</v>
      </c>
      <c r="R4" s="1" t="s">
        <v>181</v>
      </c>
      <c r="S4" s="1" t="s">
        <v>182</v>
      </c>
      <c r="T4" s="1" t="s">
        <v>182</v>
      </c>
      <c r="U4" s="1" t="s">
        <v>183</v>
      </c>
      <c r="V4" s="1" t="s">
        <v>182</v>
      </c>
      <c r="W4" s="1" t="s">
        <v>182</v>
      </c>
      <c r="X4" s="1" t="s">
        <v>183</v>
      </c>
      <c r="Y4" s="1" t="s">
        <v>182</v>
      </c>
      <c r="Z4" s="1" t="s">
        <v>182</v>
      </c>
      <c r="AA4" s="1" t="s">
        <v>184</v>
      </c>
      <c r="AB4" s="1" t="s">
        <v>183</v>
      </c>
      <c r="AC4" s="1" t="s">
        <v>182</v>
      </c>
      <c r="AD4" s="1" t="s">
        <v>153</v>
      </c>
      <c r="AE4" s="1" t="s">
        <v>154</v>
      </c>
      <c r="AF4" s="1" t="s">
        <v>191</v>
      </c>
      <c r="AG4" s="3" t="s">
        <v>185</v>
      </c>
      <c r="AH4" s="2" t="s">
        <v>182</v>
      </c>
      <c r="AI4" s="1" t="s">
        <v>184</v>
      </c>
      <c r="AJ4" s="1" t="s">
        <v>154</v>
      </c>
      <c r="AK4" s="1" t="s">
        <v>195</v>
      </c>
      <c r="AL4" s="1" t="s">
        <v>154</v>
      </c>
      <c r="AM4" s="1" t="s">
        <v>192</v>
      </c>
      <c r="AN4" s="1" t="s">
        <v>188</v>
      </c>
      <c r="AO4" s="1" t="s">
        <v>196</v>
      </c>
    </row>
    <row r="5" spans="1:41" x14ac:dyDescent="0.3">
      <c r="A5" s="5">
        <v>46030</v>
      </c>
      <c r="B5" s="1" t="s">
        <v>20</v>
      </c>
      <c r="C5" s="1" t="s">
        <v>154</v>
      </c>
      <c r="D5" s="3">
        <v>25</v>
      </c>
      <c r="E5" s="1" t="s">
        <v>137</v>
      </c>
      <c r="F5" s="1" t="s">
        <v>3</v>
      </c>
      <c r="G5" s="1" t="s">
        <v>4</v>
      </c>
      <c r="H5" s="1" t="s">
        <v>150</v>
      </c>
      <c r="I5" s="1" t="s">
        <v>167</v>
      </c>
      <c r="J5" s="1" t="s">
        <v>153</v>
      </c>
      <c r="K5" s="3">
        <v>2</v>
      </c>
      <c r="L5" s="1" t="s">
        <v>170</v>
      </c>
      <c r="M5" s="1" t="s">
        <v>8</v>
      </c>
      <c r="N5" s="1" t="s">
        <v>172</v>
      </c>
      <c r="O5" s="1" t="s">
        <v>176</v>
      </c>
      <c r="P5" s="1" t="s">
        <v>179</v>
      </c>
      <c r="Q5" s="1" t="s">
        <v>180</v>
      </c>
      <c r="R5" s="1" t="s">
        <v>181</v>
      </c>
      <c r="S5" s="1" t="s">
        <v>182</v>
      </c>
      <c r="T5" s="1" t="s">
        <v>183</v>
      </c>
      <c r="U5" s="1" t="s">
        <v>182</v>
      </c>
      <c r="V5" s="1" t="s">
        <v>182</v>
      </c>
      <c r="W5" s="1" t="s">
        <v>182</v>
      </c>
      <c r="X5" s="1" t="s">
        <v>183</v>
      </c>
      <c r="Y5" s="1" t="s">
        <v>184</v>
      </c>
      <c r="Z5" s="1" t="s">
        <v>182</v>
      </c>
      <c r="AA5" s="1" t="s">
        <v>182</v>
      </c>
      <c r="AB5" s="1" t="s">
        <v>184</v>
      </c>
      <c r="AC5" s="1" t="s">
        <v>182</v>
      </c>
      <c r="AD5" s="1" t="s">
        <v>153</v>
      </c>
      <c r="AE5" s="1" t="s">
        <v>154</v>
      </c>
      <c r="AF5" s="1" t="s">
        <v>181</v>
      </c>
      <c r="AG5" s="3" t="s">
        <v>185</v>
      </c>
      <c r="AH5" s="2" t="s">
        <v>182</v>
      </c>
      <c r="AI5" s="1" t="s">
        <v>182</v>
      </c>
      <c r="AJ5" s="1" t="s">
        <v>154</v>
      </c>
      <c r="AK5" s="1" t="s">
        <v>195</v>
      </c>
      <c r="AL5" s="1" t="s">
        <v>154</v>
      </c>
      <c r="AM5" s="1" t="s">
        <v>192</v>
      </c>
      <c r="AN5" s="1" t="s">
        <v>188</v>
      </c>
      <c r="AO5" s="1" t="s">
        <v>196</v>
      </c>
    </row>
    <row r="6" spans="1:41" x14ac:dyDescent="0.3">
      <c r="A6" s="5">
        <v>46024</v>
      </c>
      <c r="B6" s="1" t="s">
        <v>25</v>
      </c>
      <c r="C6" s="1" t="s">
        <v>154</v>
      </c>
      <c r="D6" s="3">
        <v>33</v>
      </c>
      <c r="E6" s="1" t="s">
        <v>138</v>
      </c>
      <c r="F6" s="1" t="s">
        <v>3</v>
      </c>
      <c r="G6" s="1" t="s">
        <v>4</v>
      </c>
      <c r="H6" s="1" t="s">
        <v>151</v>
      </c>
      <c r="I6" s="1" t="s">
        <v>165</v>
      </c>
      <c r="J6" s="1" t="s">
        <v>153</v>
      </c>
      <c r="K6" s="3">
        <v>2</v>
      </c>
      <c r="L6" s="1" t="s">
        <v>169</v>
      </c>
      <c r="M6" s="1" t="s">
        <v>8</v>
      </c>
      <c r="N6" s="1" t="s">
        <v>174</v>
      </c>
      <c r="O6" s="1" t="s">
        <v>177</v>
      </c>
      <c r="P6" s="1" t="s">
        <v>178</v>
      </c>
      <c r="Q6" s="1" t="s">
        <v>180</v>
      </c>
      <c r="R6" s="1" t="s">
        <v>181</v>
      </c>
      <c r="S6" s="1" t="s">
        <v>182</v>
      </c>
      <c r="T6" s="1" t="s">
        <v>183</v>
      </c>
      <c r="U6" s="1" t="s">
        <v>184</v>
      </c>
      <c r="V6" s="1" t="s">
        <v>183</v>
      </c>
      <c r="W6" s="1" t="s">
        <v>184</v>
      </c>
      <c r="X6" s="1" t="s">
        <v>182</v>
      </c>
      <c r="Y6" s="1" t="s">
        <v>183</v>
      </c>
      <c r="Z6" s="1" t="s">
        <v>182</v>
      </c>
      <c r="AA6" s="1" t="s">
        <v>184</v>
      </c>
      <c r="AB6" s="1" t="s">
        <v>183</v>
      </c>
      <c r="AC6" s="1" t="s">
        <v>182</v>
      </c>
      <c r="AD6" s="1" t="s">
        <v>152</v>
      </c>
      <c r="AE6" s="1" t="s">
        <v>154</v>
      </c>
      <c r="AF6" s="1" t="s">
        <v>181</v>
      </c>
      <c r="AG6" s="3" t="s">
        <v>185</v>
      </c>
      <c r="AH6" s="2" t="s">
        <v>182</v>
      </c>
      <c r="AI6" s="1" t="s">
        <v>184</v>
      </c>
      <c r="AJ6" s="1" t="s">
        <v>154</v>
      </c>
      <c r="AK6" s="1" t="s">
        <v>195</v>
      </c>
      <c r="AL6" s="1" t="s">
        <v>154</v>
      </c>
      <c r="AM6" s="1" t="s">
        <v>192</v>
      </c>
      <c r="AN6" s="1" t="s">
        <v>188</v>
      </c>
      <c r="AO6" s="1" t="s">
        <v>196</v>
      </c>
    </row>
    <row r="7" spans="1:41" x14ac:dyDescent="0.3">
      <c r="A7" s="5">
        <v>46228</v>
      </c>
      <c r="B7" s="1" t="s">
        <v>26</v>
      </c>
      <c r="C7" s="1" t="s">
        <v>154</v>
      </c>
      <c r="D7" s="3">
        <f ca="1">RANDBETWEEN(20,50)</f>
        <v>26</v>
      </c>
      <c r="E7" s="1" t="s">
        <v>137</v>
      </c>
      <c r="F7" s="1" t="s">
        <v>3</v>
      </c>
      <c r="G7" s="1" t="s">
        <v>4</v>
      </c>
      <c r="H7" s="1" t="s">
        <v>151</v>
      </c>
      <c r="I7" s="1" t="s">
        <v>167</v>
      </c>
      <c r="J7" s="1" t="s">
        <v>153</v>
      </c>
      <c r="K7" s="3">
        <v>2</v>
      </c>
      <c r="L7" s="1" t="s">
        <v>171</v>
      </c>
      <c r="M7" s="1" t="s">
        <v>8</v>
      </c>
      <c r="N7" s="1" t="s">
        <v>174</v>
      </c>
      <c r="O7" s="1" t="s">
        <v>175</v>
      </c>
      <c r="P7" s="1" t="s">
        <v>178</v>
      </c>
      <c r="Q7" s="1" t="s">
        <v>180</v>
      </c>
      <c r="R7" s="1" t="s">
        <v>181</v>
      </c>
      <c r="S7" s="1" t="s">
        <v>182</v>
      </c>
      <c r="T7" s="1" t="s">
        <v>183</v>
      </c>
      <c r="U7" s="1" t="s">
        <v>184</v>
      </c>
      <c r="V7" s="1" t="s">
        <v>183</v>
      </c>
      <c r="W7" s="1" t="s">
        <v>184</v>
      </c>
      <c r="X7" s="1" t="s">
        <v>182</v>
      </c>
      <c r="Y7" s="1" t="s">
        <v>183</v>
      </c>
      <c r="Z7" s="1" t="s">
        <v>182</v>
      </c>
      <c r="AA7" s="1" t="s">
        <v>184</v>
      </c>
      <c r="AB7" s="1" t="s">
        <v>183</v>
      </c>
      <c r="AC7" s="1" t="s">
        <v>182</v>
      </c>
      <c r="AD7" s="1" t="s">
        <v>152</v>
      </c>
      <c r="AE7" s="1" t="s">
        <v>154</v>
      </c>
      <c r="AF7" s="1" t="s">
        <v>181</v>
      </c>
      <c r="AG7" s="3" t="s">
        <v>185</v>
      </c>
      <c r="AH7" s="2" t="s">
        <v>182</v>
      </c>
      <c r="AI7" s="1" t="s">
        <v>182</v>
      </c>
      <c r="AJ7" s="1" t="s">
        <v>154</v>
      </c>
      <c r="AK7" s="1" t="s">
        <v>186</v>
      </c>
      <c r="AL7" s="1" t="s">
        <v>154</v>
      </c>
      <c r="AM7" s="1" t="s">
        <v>187</v>
      </c>
      <c r="AN7" s="1" t="s">
        <v>188</v>
      </c>
      <c r="AO7" s="1" t="s">
        <v>189</v>
      </c>
    </row>
    <row r="8" spans="1:41" x14ac:dyDescent="0.3">
      <c r="A8" s="5">
        <v>46023</v>
      </c>
      <c r="B8" s="1" t="s">
        <v>27</v>
      </c>
      <c r="C8" s="1" t="s">
        <v>154</v>
      </c>
      <c r="D8" s="3">
        <f t="shared" ref="D8:D55" ca="1" si="0">RANDBETWEEN(20,50)</f>
        <v>26</v>
      </c>
      <c r="E8" s="1" t="s">
        <v>137</v>
      </c>
      <c r="F8" s="1" t="s">
        <v>3</v>
      </c>
      <c r="G8" s="1" t="s">
        <v>4</v>
      </c>
      <c r="H8" s="1" t="s">
        <v>151</v>
      </c>
      <c r="I8" s="1" t="s">
        <v>167</v>
      </c>
      <c r="J8" s="1" t="s">
        <v>153</v>
      </c>
      <c r="K8" s="3">
        <v>2</v>
      </c>
      <c r="L8" s="1" t="s">
        <v>171</v>
      </c>
      <c r="M8" s="1" t="s">
        <v>8</v>
      </c>
      <c r="N8" s="1" t="s">
        <v>174</v>
      </c>
      <c r="O8" s="1" t="s">
        <v>175</v>
      </c>
      <c r="P8" s="1" t="s">
        <v>178</v>
      </c>
      <c r="Q8" s="1" t="s">
        <v>180</v>
      </c>
      <c r="R8" s="1" t="s">
        <v>181</v>
      </c>
      <c r="S8" s="1" t="s">
        <v>182</v>
      </c>
      <c r="T8" s="1" t="s">
        <v>183</v>
      </c>
      <c r="U8" s="1" t="s">
        <v>184</v>
      </c>
      <c r="V8" s="1" t="s">
        <v>183</v>
      </c>
      <c r="W8" s="1" t="s">
        <v>184</v>
      </c>
      <c r="X8" s="1" t="s">
        <v>182</v>
      </c>
      <c r="Y8" s="1" t="s">
        <v>183</v>
      </c>
      <c r="Z8" s="1" t="s">
        <v>182</v>
      </c>
      <c r="AA8" s="1" t="s">
        <v>184</v>
      </c>
      <c r="AB8" s="1" t="s">
        <v>183</v>
      </c>
      <c r="AC8" s="1" t="s">
        <v>182</v>
      </c>
      <c r="AD8" s="1" t="s">
        <v>152</v>
      </c>
      <c r="AE8" s="1" t="s">
        <v>154</v>
      </c>
      <c r="AF8" s="1" t="s">
        <v>181</v>
      </c>
      <c r="AG8" s="3" t="s">
        <v>185</v>
      </c>
      <c r="AH8" s="2" t="s">
        <v>182</v>
      </c>
      <c r="AI8" s="1" t="s">
        <v>182</v>
      </c>
      <c r="AJ8" s="1" t="s">
        <v>154</v>
      </c>
      <c r="AK8" s="1" t="s">
        <v>186</v>
      </c>
      <c r="AL8" s="1" t="s">
        <v>154</v>
      </c>
      <c r="AM8" s="1" t="s">
        <v>192</v>
      </c>
      <c r="AN8" s="1" t="s">
        <v>193</v>
      </c>
      <c r="AO8" s="1" t="s">
        <v>194</v>
      </c>
    </row>
    <row r="9" spans="1:41" x14ac:dyDescent="0.3">
      <c r="A9" s="5">
        <v>46025</v>
      </c>
      <c r="B9" s="1" t="s">
        <v>28</v>
      </c>
      <c r="C9" s="1" t="s">
        <v>154</v>
      </c>
      <c r="D9" s="3">
        <f t="shared" ca="1" si="0"/>
        <v>38</v>
      </c>
      <c r="E9" s="1" t="s">
        <v>138</v>
      </c>
      <c r="F9" s="1" t="s">
        <v>3</v>
      </c>
      <c r="G9" s="1" t="s">
        <v>4</v>
      </c>
      <c r="H9" s="1" t="s">
        <v>151</v>
      </c>
      <c r="I9" s="1" t="s">
        <v>167</v>
      </c>
      <c r="J9" s="1" t="s">
        <v>153</v>
      </c>
      <c r="K9" s="3">
        <v>2</v>
      </c>
      <c r="L9" s="1" t="s">
        <v>171</v>
      </c>
      <c r="M9" s="1" t="s">
        <v>8</v>
      </c>
      <c r="N9" s="1" t="s">
        <v>174</v>
      </c>
      <c r="O9" s="1" t="s">
        <v>175</v>
      </c>
      <c r="P9" s="1" t="s">
        <v>178</v>
      </c>
      <c r="Q9" s="1" t="s">
        <v>180</v>
      </c>
      <c r="R9" s="1" t="s">
        <v>181</v>
      </c>
      <c r="S9" s="1" t="s">
        <v>182</v>
      </c>
      <c r="T9" s="1" t="s">
        <v>183</v>
      </c>
      <c r="U9" s="1" t="s">
        <v>184</v>
      </c>
      <c r="V9" s="1" t="s">
        <v>183</v>
      </c>
      <c r="W9" s="1" t="s">
        <v>184</v>
      </c>
      <c r="X9" s="1" t="s">
        <v>182</v>
      </c>
      <c r="Y9" s="1" t="s">
        <v>183</v>
      </c>
      <c r="Z9" s="1" t="s">
        <v>182</v>
      </c>
      <c r="AA9" s="1" t="s">
        <v>184</v>
      </c>
      <c r="AB9" s="1" t="s">
        <v>183</v>
      </c>
      <c r="AC9" s="1" t="s">
        <v>182</v>
      </c>
      <c r="AD9" s="1" t="s">
        <v>152</v>
      </c>
      <c r="AE9" s="1" t="s">
        <v>154</v>
      </c>
      <c r="AF9" s="1" t="s">
        <v>181</v>
      </c>
      <c r="AG9" s="3" t="s">
        <v>185</v>
      </c>
      <c r="AH9" s="2" t="s">
        <v>182</v>
      </c>
      <c r="AI9" s="1" t="s">
        <v>184</v>
      </c>
      <c r="AJ9" s="1" t="s">
        <v>154</v>
      </c>
      <c r="AK9" s="1" t="s">
        <v>195</v>
      </c>
      <c r="AL9" s="1" t="s">
        <v>154</v>
      </c>
      <c r="AM9" s="1" t="s">
        <v>192</v>
      </c>
      <c r="AN9" s="1" t="s">
        <v>188</v>
      </c>
      <c r="AO9" s="1" t="s">
        <v>196</v>
      </c>
    </row>
    <row r="10" spans="1:41" x14ac:dyDescent="0.3">
      <c r="A10" s="5">
        <v>46030</v>
      </c>
      <c r="B10" s="1" t="s">
        <v>29</v>
      </c>
      <c r="C10" s="1" t="s">
        <v>154</v>
      </c>
      <c r="D10" s="3">
        <f t="shared" ca="1" si="0"/>
        <v>34</v>
      </c>
      <c r="E10" s="1" t="s">
        <v>138</v>
      </c>
      <c r="F10" s="1" t="s">
        <v>3</v>
      </c>
      <c r="G10" s="1" t="s">
        <v>4</v>
      </c>
      <c r="H10" s="1" t="s">
        <v>151</v>
      </c>
      <c r="I10" s="1" t="s">
        <v>167</v>
      </c>
      <c r="J10" s="1" t="s">
        <v>153</v>
      </c>
      <c r="K10" s="3">
        <v>2</v>
      </c>
      <c r="L10" s="1" t="s">
        <v>171</v>
      </c>
      <c r="M10" s="1" t="s">
        <v>8</v>
      </c>
      <c r="N10" s="1" t="s">
        <v>174</v>
      </c>
      <c r="O10" s="1" t="s">
        <v>175</v>
      </c>
      <c r="P10" s="1" t="s">
        <v>178</v>
      </c>
      <c r="Q10" s="1" t="s">
        <v>180</v>
      </c>
      <c r="R10" s="1" t="s">
        <v>181</v>
      </c>
      <c r="S10" s="1" t="s">
        <v>182</v>
      </c>
      <c r="T10" s="1" t="s">
        <v>183</v>
      </c>
      <c r="U10" s="1" t="s">
        <v>184</v>
      </c>
      <c r="V10" s="1" t="s">
        <v>183</v>
      </c>
      <c r="W10" s="1" t="s">
        <v>184</v>
      </c>
      <c r="X10" s="1" t="s">
        <v>182</v>
      </c>
      <c r="Y10" s="1" t="s">
        <v>183</v>
      </c>
      <c r="Z10" s="1" t="s">
        <v>182</v>
      </c>
      <c r="AA10" s="1" t="s">
        <v>184</v>
      </c>
      <c r="AB10" s="1" t="s">
        <v>183</v>
      </c>
      <c r="AC10" s="1" t="s">
        <v>182</v>
      </c>
      <c r="AD10" s="1" t="s">
        <v>152</v>
      </c>
      <c r="AE10" s="1" t="s">
        <v>154</v>
      </c>
      <c r="AF10" s="1" t="s">
        <v>181</v>
      </c>
      <c r="AG10" s="3" t="s">
        <v>185</v>
      </c>
      <c r="AH10" s="2" t="s">
        <v>182</v>
      </c>
      <c r="AI10" s="1" t="s">
        <v>182</v>
      </c>
      <c r="AJ10" s="1" t="s">
        <v>154</v>
      </c>
      <c r="AK10" s="1" t="s">
        <v>195</v>
      </c>
      <c r="AL10" s="1" t="s">
        <v>154</v>
      </c>
      <c r="AM10" s="1" t="s">
        <v>192</v>
      </c>
      <c r="AN10" s="1" t="s">
        <v>188</v>
      </c>
      <c r="AO10" s="1" t="s">
        <v>196</v>
      </c>
    </row>
    <row r="11" spans="1:41" x14ac:dyDescent="0.3">
      <c r="A11" s="5">
        <v>46024</v>
      </c>
      <c r="B11" s="1" t="s">
        <v>30</v>
      </c>
      <c r="C11" s="1" t="s">
        <v>154</v>
      </c>
      <c r="D11" s="3">
        <f t="shared" ca="1" si="0"/>
        <v>25</v>
      </c>
      <c r="E11" s="1" t="s">
        <v>138</v>
      </c>
      <c r="F11" s="1" t="s">
        <v>3</v>
      </c>
      <c r="G11" s="1" t="s">
        <v>4</v>
      </c>
      <c r="H11" s="1" t="s">
        <v>151</v>
      </c>
      <c r="I11" s="1" t="s">
        <v>167</v>
      </c>
      <c r="J11" s="1" t="s">
        <v>153</v>
      </c>
      <c r="K11" s="3">
        <v>2</v>
      </c>
      <c r="L11" s="1" t="s">
        <v>171</v>
      </c>
      <c r="M11" s="1" t="s">
        <v>8</v>
      </c>
      <c r="N11" s="1" t="s">
        <v>174</v>
      </c>
      <c r="O11" s="1" t="s">
        <v>175</v>
      </c>
      <c r="P11" s="1" t="s">
        <v>178</v>
      </c>
      <c r="Q11" s="1" t="s">
        <v>180</v>
      </c>
      <c r="R11" s="1" t="s">
        <v>181</v>
      </c>
      <c r="S11" s="1" t="s">
        <v>182</v>
      </c>
      <c r="T11" s="1" t="s">
        <v>183</v>
      </c>
      <c r="U11" s="1" t="s">
        <v>184</v>
      </c>
      <c r="V11" s="1" t="s">
        <v>183</v>
      </c>
      <c r="W11" s="1" t="s">
        <v>184</v>
      </c>
      <c r="X11" s="1" t="s">
        <v>182</v>
      </c>
      <c r="Y11" s="1" t="s">
        <v>183</v>
      </c>
      <c r="Z11" s="1" t="s">
        <v>182</v>
      </c>
      <c r="AA11" s="1" t="s">
        <v>184</v>
      </c>
      <c r="AB11" s="1" t="s">
        <v>183</v>
      </c>
      <c r="AC11" s="1" t="s">
        <v>182</v>
      </c>
      <c r="AD11" s="1" t="s">
        <v>152</v>
      </c>
      <c r="AE11" s="1" t="s">
        <v>154</v>
      </c>
      <c r="AF11" s="1" t="s">
        <v>181</v>
      </c>
      <c r="AG11" s="3" t="s">
        <v>185</v>
      </c>
      <c r="AH11" s="2" t="s">
        <v>182</v>
      </c>
      <c r="AI11" s="1" t="s">
        <v>184</v>
      </c>
      <c r="AJ11" s="1" t="s">
        <v>154</v>
      </c>
      <c r="AK11" s="1" t="s">
        <v>195</v>
      </c>
      <c r="AL11" s="1" t="s">
        <v>154</v>
      </c>
      <c r="AM11" s="1" t="s">
        <v>192</v>
      </c>
      <c r="AN11" s="1" t="s">
        <v>188</v>
      </c>
      <c r="AO11" s="1" t="s">
        <v>196</v>
      </c>
    </row>
    <row r="12" spans="1:41" x14ac:dyDescent="0.3">
      <c r="A12" s="5">
        <v>46228</v>
      </c>
      <c r="B12" s="1" t="s">
        <v>31</v>
      </c>
      <c r="C12" s="1" t="s">
        <v>154</v>
      </c>
      <c r="D12" s="3">
        <f t="shared" ca="1" si="0"/>
        <v>50</v>
      </c>
      <c r="E12" s="1" t="s">
        <v>138</v>
      </c>
      <c r="F12" s="1" t="s">
        <v>3</v>
      </c>
      <c r="G12" s="1" t="s">
        <v>4</v>
      </c>
      <c r="H12" s="1" t="s">
        <v>151</v>
      </c>
      <c r="I12" s="1" t="s">
        <v>167</v>
      </c>
      <c r="J12" s="1" t="s">
        <v>153</v>
      </c>
      <c r="K12" s="3">
        <v>2</v>
      </c>
      <c r="L12" s="1" t="s">
        <v>171</v>
      </c>
      <c r="M12" s="1" t="s">
        <v>8</v>
      </c>
      <c r="N12" s="1" t="s">
        <v>174</v>
      </c>
      <c r="O12" s="1" t="s">
        <v>175</v>
      </c>
      <c r="P12" s="1" t="s">
        <v>178</v>
      </c>
      <c r="Q12" s="1" t="s">
        <v>180</v>
      </c>
      <c r="R12" s="1" t="s">
        <v>181</v>
      </c>
      <c r="S12" s="1" t="s">
        <v>182</v>
      </c>
      <c r="T12" s="1" t="s">
        <v>183</v>
      </c>
      <c r="U12" s="1" t="s">
        <v>184</v>
      </c>
      <c r="V12" s="1" t="s">
        <v>183</v>
      </c>
      <c r="W12" s="1" t="s">
        <v>184</v>
      </c>
      <c r="X12" s="1" t="s">
        <v>182</v>
      </c>
      <c r="Y12" s="1" t="s">
        <v>183</v>
      </c>
      <c r="Z12" s="1" t="s">
        <v>182</v>
      </c>
      <c r="AA12" s="1" t="s">
        <v>184</v>
      </c>
      <c r="AB12" s="1" t="s">
        <v>183</v>
      </c>
      <c r="AC12" s="1" t="s">
        <v>182</v>
      </c>
      <c r="AD12" s="1" t="s">
        <v>152</v>
      </c>
      <c r="AE12" s="1" t="s">
        <v>154</v>
      </c>
      <c r="AF12" s="1" t="s">
        <v>181</v>
      </c>
      <c r="AG12" s="3" t="s">
        <v>185</v>
      </c>
      <c r="AH12" s="2" t="s">
        <v>182</v>
      </c>
      <c r="AI12" s="1" t="s">
        <v>182</v>
      </c>
      <c r="AJ12" s="1" t="s">
        <v>154</v>
      </c>
      <c r="AK12" s="1" t="s">
        <v>186</v>
      </c>
      <c r="AL12" s="1" t="s">
        <v>154</v>
      </c>
      <c r="AM12" s="1" t="s">
        <v>187</v>
      </c>
      <c r="AN12" s="1" t="s">
        <v>188</v>
      </c>
      <c r="AO12" s="1" t="s">
        <v>189</v>
      </c>
    </row>
    <row r="13" spans="1:41" x14ac:dyDescent="0.3">
      <c r="A13" s="5">
        <v>46023</v>
      </c>
      <c r="B13" s="1" t="s">
        <v>32</v>
      </c>
      <c r="C13" s="1" t="s">
        <v>154</v>
      </c>
      <c r="D13" s="3">
        <f t="shared" ca="1" si="0"/>
        <v>50</v>
      </c>
      <c r="E13" s="1" t="s">
        <v>138</v>
      </c>
      <c r="F13" s="1" t="s">
        <v>3</v>
      </c>
      <c r="G13" s="1" t="s">
        <v>4</v>
      </c>
      <c r="H13" s="1" t="s">
        <v>151</v>
      </c>
      <c r="I13" s="1" t="s">
        <v>167</v>
      </c>
      <c r="J13" s="1" t="s">
        <v>153</v>
      </c>
      <c r="K13" s="3">
        <v>2</v>
      </c>
      <c r="L13" s="1" t="s">
        <v>171</v>
      </c>
      <c r="M13" s="1" t="s">
        <v>8</v>
      </c>
      <c r="N13" s="1" t="s">
        <v>174</v>
      </c>
      <c r="O13" s="1" t="s">
        <v>175</v>
      </c>
      <c r="P13" s="1" t="s">
        <v>178</v>
      </c>
      <c r="Q13" s="1" t="s">
        <v>180</v>
      </c>
      <c r="R13" s="1" t="s">
        <v>181</v>
      </c>
      <c r="S13" s="1" t="s">
        <v>182</v>
      </c>
      <c r="T13" s="1" t="s">
        <v>183</v>
      </c>
      <c r="U13" s="1" t="s">
        <v>184</v>
      </c>
      <c r="V13" s="1" t="s">
        <v>183</v>
      </c>
      <c r="W13" s="1" t="s">
        <v>184</v>
      </c>
      <c r="X13" s="1" t="s">
        <v>182</v>
      </c>
      <c r="Y13" s="1" t="s">
        <v>183</v>
      </c>
      <c r="Z13" s="1" t="s">
        <v>182</v>
      </c>
      <c r="AA13" s="1" t="s">
        <v>184</v>
      </c>
      <c r="AB13" s="1" t="s">
        <v>183</v>
      </c>
      <c r="AC13" s="1" t="s">
        <v>182</v>
      </c>
      <c r="AD13" s="1" t="s">
        <v>152</v>
      </c>
      <c r="AE13" s="1" t="s">
        <v>154</v>
      </c>
      <c r="AF13" s="1" t="s">
        <v>181</v>
      </c>
      <c r="AG13" s="3" t="s">
        <v>185</v>
      </c>
      <c r="AH13" s="2" t="s">
        <v>182</v>
      </c>
      <c r="AI13" s="1" t="s">
        <v>182</v>
      </c>
      <c r="AJ13" s="1" t="s">
        <v>154</v>
      </c>
      <c r="AK13" s="1" t="s">
        <v>186</v>
      </c>
      <c r="AL13" s="1" t="s">
        <v>154</v>
      </c>
      <c r="AM13" s="1" t="s">
        <v>192</v>
      </c>
      <c r="AN13" s="1" t="s">
        <v>193</v>
      </c>
      <c r="AO13" s="1" t="s">
        <v>194</v>
      </c>
    </row>
    <row r="14" spans="1:41" x14ac:dyDescent="0.3">
      <c r="A14" s="5">
        <v>46025</v>
      </c>
      <c r="B14" s="1" t="s">
        <v>33</v>
      </c>
      <c r="C14" s="1" t="s">
        <v>154</v>
      </c>
      <c r="D14" s="3">
        <f t="shared" ca="1" si="0"/>
        <v>45</v>
      </c>
      <c r="E14" s="1" t="s">
        <v>138</v>
      </c>
      <c r="F14" s="1" t="s">
        <v>3</v>
      </c>
      <c r="G14" s="1" t="s">
        <v>4</v>
      </c>
      <c r="H14" s="1" t="s">
        <v>151</v>
      </c>
      <c r="I14" s="1" t="s">
        <v>167</v>
      </c>
      <c r="J14" s="1" t="s">
        <v>153</v>
      </c>
      <c r="K14" s="3">
        <v>2</v>
      </c>
      <c r="L14" s="1" t="s">
        <v>171</v>
      </c>
      <c r="M14" s="1" t="s">
        <v>8</v>
      </c>
      <c r="N14" s="1" t="s">
        <v>174</v>
      </c>
      <c r="O14" s="1" t="s">
        <v>175</v>
      </c>
      <c r="P14" s="1" t="s">
        <v>178</v>
      </c>
      <c r="Q14" s="1" t="s">
        <v>180</v>
      </c>
      <c r="R14" s="1" t="s">
        <v>181</v>
      </c>
      <c r="S14" s="1" t="s">
        <v>182</v>
      </c>
      <c r="T14" s="1" t="s">
        <v>183</v>
      </c>
      <c r="U14" s="1" t="s">
        <v>184</v>
      </c>
      <c r="V14" s="1" t="s">
        <v>183</v>
      </c>
      <c r="W14" s="1" t="s">
        <v>184</v>
      </c>
      <c r="X14" s="1" t="s">
        <v>182</v>
      </c>
      <c r="Y14" s="1" t="s">
        <v>183</v>
      </c>
      <c r="Z14" s="1" t="s">
        <v>182</v>
      </c>
      <c r="AA14" s="1" t="s">
        <v>184</v>
      </c>
      <c r="AB14" s="1" t="s">
        <v>183</v>
      </c>
      <c r="AC14" s="1" t="s">
        <v>182</v>
      </c>
      <c r="AD14" s="1" t="s">
        <v>152</v>
      </c>
      <c r="AE14" s="1" t="s">
        <v>154</v>
      </c>
      <c r="AF14" s="1" t="s">
        <v>181</v>
      </c>
      <c r="AG14" s="3" t="s">
        <v>185</v>
      </c>
      <c r="AH14" s="2" t="s">
        <v>182</v>
      </c>
      <c r="AI14" s="1" t="s">
        <v>184</v>
      </c>
      <c r="AJ14" s="1" t="s">
        <v>154</v>
      </c>
      <c r="AK14" s="1" t="s">
        <v>195</v>
      </c>
      <c r="AL14" s="1" t="s">
        <v>154</v>
      </c>
      <c r="AM14" s="1" t="s">
        <v>192</v>
      </c>
      <c r="AN14" s="1" t="s">
        <v>188</v>
      </c>
      <c r="AO14" s="1" t="s">
        <v>196</v>
      </c>
    </row>
    <row r="15" spans="1:41" x14ac:dyDescent="0.3">
      <c r="A15" s="5">
        <v>46030</v>
      </c>
      <c r="B15" s="1" t="s">
        <v>34</v>
      </c>
      <c r="C15" s="1" t="s">
        <v>154</v>
      </c>
      <c r="D15" s="3">
        <f t="shared" ca="1" si="0"/>
        <v>46</v>
      </c>
      <c r="E15" s="1" t="s">
        <v>138</v>
      </c>
      <c r="F15" s="1" t="s">
        <v>3</v>
      </c>
      <c r="G15" s="1" t="s">
        <v>4</v>
      </c>
      <c r="H15" s="1" t="s">
        <v>151</v>
      </c>
      <c r="I15" s="1" t="s">
        <v>167</v>
      </c>
      <c r="J15" s="1" t="s">
        <v>153</v>
      </c>
      <c r="K15" s="3">
        <v>2</v>
      </c>
      <c r="L15" s="1" t="s">
        <v>171</v>
      </c>
      <c r="M15" s="1" t="s">
        <v>8</v>
      </c>
      <c r="N15" s="1" t="s">
        <v>174</v>
      </c>
      <c r="O15" s="1" t="s">
        <v>175</v>
      </c>
      <c r="P15" s="1" t="s">
        <v>178</v>
      </c>
      <c r="Q15" s="1" t="s">
        <v>180</v>
      </c>
      <c r="R15" s="1" t="s">
        <v>181</v>
      </c>
      <c r="S15" s="1" t="s">
        <v>182</v>
      </c>
      <c r="T15" s="2" t="s">
        <v>183</v>
      </c>
      <c r="U15" s="1" t="s">
        <v>184</v>
      </c>
      <c r="V15" s="1" t="s">
        <v>183</v>
      </c>
      <c r="W15" s="1" t="s">
        <v>184</v>
      </c>
      <c r="X15" s="1" t="s">
        <v>182</v>
      </c>
      <c r="Y15" s="1" t="s">
        <v>183</v>
      </c>
      <c r="Z15" s="1" t="s">
        <v>182</v>
      </c>
      <c r="AA15" s="1" t="s">
        <v>184</v>
      </c>
      <c r="AB15" s="1" t="s">
        <v>183</v>
      </c>
      <c r="AC15" s="1" t="s">
        <v>182</v>
      </c>
      <c r="AD15" s="1" t="s">
        <v>152</v>
      </c>
      <c r="AE15" s="1" t="s">
        <v>154</v>
      </c>
      <c r="AF15" s="1" t="s">
        <v>181</v>
      </c>
      <c r="AG15" s="3" t="s">
        <v>185</v>
      </c>
      <c r="AH15" s="2" t="s">
        <v>182</v>
      </c>
      <c r="AI15" s="1" t="s">
        <v>182</v>
      </c>
      <c r="AJ15" s="1" t="s">
        <v>154</v>
      </c>
      <c r="AK15" s="1" t="s">
        <v>195</v>
      </c>
      <c r="AL15" s="1" t="s">
        <v>154</v>
      </c>
      <c r="AM15" s="1" t="s">
        <v>192</v>
      </c>
      <c r="AN15" s="1" t="s">
        <v>188</v>
      </c>
      <c r="AO15" s="1" t="s">
        <v>196</v>
      </c>
    </row>
    <row r="16" spans="1:41" x14ac:dyDescent="0.3">
      <c r="A16" s="5">
        <v>46024</v>
      </c>
      <c r="B16" s="1" t="s">
        <v>35</v>
      </c>
      <c r="C16" s="1" t="s">
        <v>154</v>
      </c>
      <c r="D16" s="3">
        <f t="shared" ca="1" si="0"/>
        <v>34</v>
      </c>
      <c r="E16" s="1" t="s">
        <v>138</v>
      </c>
      <c r="F16" s="1" t="s">
        <v>3</v>
      </c>
      <c r="G16" s="1" t="s">
        <v>4</v>
      </c>
      <c r="H16" s="1" t="s">
        <v>151</v>
      </c>
      <c r="I16" s="1" t="s">
        <v>167</v>
      </c>
      <c r="J16" s="1" t="s">
        <v>153</v>
      </c>
      <c r="K16" s="3">
        <v>2</v>
      </c>
      <c r="L16" s="1" t="s">
        <v>171</v>
      </c>
      <c r="M16" s="1" t="s">
        <v>8</v>
      </c>
      <c r="N16" s="1" t="s">
        <v>174</v>
      </c>
      <c r="O16" s="1" t="s">
        <v>175</v>
      </c>
      <c r="P16" s="1" t="s">
        <v>178</v>
      </c>
      <c r="Q16" s="1" t="s">
        <v>180</v>
      </c>
      <c r="R16" s="1" t="s">
        <v>181</v>
      </c>
      <c r="S16" s="1" t="s">
        <v>182</v>
      </c>
      <c r="T16" s="2" t="s">
        <v>182</v>
      </c>
      <c r="U16" s="1" t="s">
        <v>184</v>
      </c>
      <c r="V16" s="1" t="s">
        <v>183</v>
      </c>
      <c r="W16" s="1" t="s">
        <v>184</v>
      </c>
      <c r="X16" s="1" t="s">
        <v>182</v>
      </c>
      <c r="Y16" s="1" t="s">
        <v>183</v>
      </c>
      <c r="Z16" s="1" t="s">
        <v>182</v>
      </c>
      <c r="AA16" s="1" t="s">
        <v>184</v>
      </c>
      <c r="AB16" s="1" t="s">
        <v>183</v>
      </c>
      <c r="AC16" s="1" t="s">
        <v>182</v>
      </c>
      <c r="AD16" s="1" t="s">
        <v>152</v>
      </c>
      <c r="AE16" s="1" t="s">
        <v>154</v>
      </c>
      <c r="AF16" s="1" t="s">
        <v>181</v>
      </c>
      <c r="AG16" s="3" t="s">
        <v>185</v>
      </c>
      <c r="AH16" s="2" t="s">
        <v>182</v>
      </c>
      <c r="AI16" s="1" t="s">
        <v>184</v>
      </c>
      <c r="AJ16" s="1" t="s">
        <v>154</v>
      </c>
      <c r="AK16" s="1" t="s">
        <v>195</v>
      </c>
      <c r="AL16" s="1" t="s">
        <v>154</v>
      </c>
      <c r="AM16" s="1" t="s">
        <v>192</v>
      </c>
      <c r="AN16" s="1" t="s">
        <v>188</v>
      </c>
      <c r="AO16" s="1" t="s">
        <v>196</v>
      </c>
    </row>
    <row r="17" spans="1:41" x14ac:dyDescent="0.3">
      <c r="A17" s="5">
        <v>46228</v>
      </c>
      <c r="B17" s="1" t="s">
        <v>36</v>
      </c>
      <c r="C17" s="1" t="s">
        <v>154</v>
      </c>
      <c r="D17" s="3">
        <f t="shared" ca="1" si="0"/>
        <v>20</v>
      </c>
      <c r="E17" s="1" t="s">
        <v>138</v>
      </c>
      <c r="F17" s="1" t="s">
        <v>3</v>
      </c>
      <c r="G17" s="1" t="s">
        <v>4</v>
      </c>
      <c r="H17" s="1" t="s">
        <v>151</v>
      </c>
      <c r="I17" s="1" t="s">
        <v>167</v>
      </c>
      <c r="J17" s="1" t="s">
        <v>153</v>
      </c>
      <c r="K17" s="3">
        <v>2</v>
      </c>
      <c r="L17" s="1" t="s">
        <v>171</v>
      </c>
      <c r="M17" s="1" t="s">
        <v>8</v>
      </c>
      <c r="N17" s="1" t="s">
        <v>174</v>
      </c>
      <c r="O17" s="1" t="s">
        <v>175</v>
      </c>
      <c r="P17" s="1" t="s">
        <v>178</v>
      </c>
      <c r="Q17" s="1" t="s">
        <v>180</v>
      </c>
      <c r="R17" s="1" t="s">
        <v>181</v>
      </c>
      <c r="S17" s="1" t="s">
        <v>182</v>
      </c>
      <c r="T17" s="2" t="s">
        <v>182</v>
      </c>
      <c r="U17" s="1" t="s">
        <v>184</v>
      </c>
      <c r="V17" s="1" t="s">
        <v>183</v>
      </c>
      <c r="W17" s="1" t="s">
        <v>184</v>
      </c>
      <c r="X17" s="1" t="s">
        <v>182</v>
      </c>
      <c r="Y17" s="1" t="s">
        <v>183</v>
      </c>
      <c r="Z17" s="1" t="s">
        <v>182</v>
      </c>
      <c r="AA17" s="1" t="s">
        <v>184</v>
      </c>
      <c r="AB17" s="1" t="s">
        <v>183</v>
      </c>
      <c r="AC17" s="1" t="s">
        <v>182</v>
      </c>
      <c r="AD17" s="1" t="s">
        <v>152</v>
      </c>
      <c r="AE17" s="1" t="s">
        <v>154</v>
      </c>
      <c r="AF17" s="1" t="s">
        <v>181</v>
      </c>
      <c r="AG17" s="3" t="s">
        <v>185</v>
      </c>
      <c r="AH17" s="2" t="s">
        <v>182</v>
      </c>
      <c r="AI17" s="1" t="s">
        <v>182</v>
      </c>
      <c r="AJ17" s="1" t="s">
        <v>154</v>
      </c>
      <c r="AK17" s="1" t="s">
        <v>186</v>
      </c>
      <c r="AL17" s="1" t="s">
        <v>154</v>
      </c>
      <c r="AM17" s="1" t="s">
        <v>187</v>
      </c>
      <c r="AN17" s="1" t="s">
        <v>188</v>
      </c>
      <c r="AO17" s="1" t="s">
        <v>189</v>
      </c>
    </row>
    <row r="18" spans="1:41" x14ac:dyDescent="0.3">
      <c r="A18" s="5">
        <v>46023</v>
      </c>
      <c r="B18" s="1" t="s">
        <v>37</v>
      </c>
      <c r="C18" s="1" t="s">
        <v>154</v>
      </c>
      <c r="D18" s="3">
        <f t="shared" ca="1" si="0"/>
        <v>33</v>
      </c>
      <c r="E18" s="1" t="s">
        <v>138</v>
      </c>
      <c r="F18" s="1" t="s">
        <v>3</v>
      </c>
      <c r="G18" s="1" t="s">
        <v>4</v>
      </c>
      <c r="H18" s="1" t="s">
        <v>151</v>
      </c>
      <c r="I18" s="1" t="s">
        <v>167</v>
      </c>
      <c r="J18" s="1" t="s">
        <v>153</v>
      </c>
      <c r="K18" s="3">
        <v>2</v>
      </c>
      <c r="L18" s="1" t="s">
        <v>171</v>
      </c>
      <c r="M18" s="1" t="s">
        <v>8</v>
      </c>
      <c r="N18" s="1" t="s">
        <v>174</v>
      </c>
      <c r="O18" s="1" t="s">
        <v>175</v>
      </c>
      <c r="P18" s="2" t="s">
        <v>179</v>
      </c>
      <c r="Q18" s="1" t="s">
        <v>180</v>
      </c>
      <c r="R18" s="1" t="s">
        <v>181</v>
      </c>
      <c r="S18" s="1" t="s">
        <v>182</v>
      </c>
      <c r="T18" s="2" t="s">
        <v>182</v>
      </c>
      <c r="U18" s="2" t="s">
        <v>182</v>
      </c>
      <c r="V18" s="2" t="s">
        <v>182</v>
      </c>
      <c r="W18" s="1" t="s">
        <v>184</v>
      </c>
      <c r="X18" s="1" t="s">
        <v>182</v>
      </c>
      <c r="Y18" s="1" t="s">
        <v>183</v>
      </c>
      <c r="Z18" s="1" t="s">
        <v>182</v>
      </c>
      <c r="AA18" s="1" t="s">
        <v>184</v>
      </c>
      <c r="AB18" s="1" t="s">
        <v>183</v>
      </c>
      <c r="AC18" s="1" t="s">
        <v>182</v>
      </c>
      <c r="AD18" s="1" t="s">
        <v>152</v>
      </c>
      <c r="AE18" s="1" t="s">
        <v>154</v>
      </c>
      <c r="AF18" s="1" t="s">
        <v>181</v>
      </c>
      <c r="AG18" s="3" t="s">
        <v>185</v>
      </c>
      <c r="AH18" s="2" t="s">
        <v>182</v>
      </c>
      <c r="AI18" s="1" t="s">
        <v>182</v>
      </c>
      <c r="AJ18" s="1" t="s">
        <v>154</v>
      </c>
      <c r="AK18" s="1" t="s">
        <v>186</v>
      </c>
      <c r="AL18" s="1" t="s">
        <v>154</v>
      </c>
      <c r="AM18" s="1" t="s">
        <v>192</v>
      </c>
      <c r="AN18" s="1" t="s">
        <v>193</v>
      </c>
      <c r="AO18" s="1" t="s">
        <v>194</v>
      </c>
    </row>
    <row r="19" spans="1:41" x14ac:dyDescent="0.3">
      <c r="A19" s="5">
        <v>46025</v>
      </c>
      <c r="B19" s="1" t="s">
        <v>38</v>
      </c>
      <c r="C19" s="1" t="s">
        <v>154</v>
      </c>
      <c r="D19" s="3">
        <f t="shared" ca="1" si="0"/>
        <v>37</v>
      </c>
      <c r="E19" s="1" t="s">
        <v>138</v>
      </c>
      <c r="F19" s="1" t="s">
        <v>3</v>
      </c>
      <c r="G19" s="1" t="s">
        <v>4</v>
      </c>
      <c r="H19" s="1" t="s">
        <v>151</v>
      </c>
      <c r="I19" s="1" t="s">
        <v>167</v>
      </c>
      <c r="J19" s="1" t="s">
        <v>153</v>
      </c>
      <c r="K19" s="3">
        <v>2</v>
      </c>
      <c r="L19" s="1" t="s">
        <v>171</v>
      </c>
      <c r="M19" s="1" t="s">
        <v>8</v>
      </c>
      <c r="N19" s="1" t="s">
        <v>174</v>
      </c>
      <c r="O19" s="1" t="s">
        <v>175</v>
      </c>
      <c r="P19" s="2" t="s">
        <v>179</v>
      </c>
      <c r="Q19" s="1" t="s">
        <v>180</v>
      </c>
      <c r="R19" s="1" t="s">
        <v>181</v>
      </c>
      <c r="S19" s="1" t="s">
        <v>182</v>
      </c>
      <c r="T19" s="2" t="s">
        <v>182</v>
      </c>
      <c r="U19" s="2" t="s">
        <v>182</v>
      </c>
      <c r="V19" s="2" t="s">
        <v>182</v>
      </c>
      <c r="W19" s="1" t="s">
        <v>184</v>
      </c>
      <c r="X19" s="1" t="s">
        <v>182</v>
      </c>
      <c r="Y19" s="1" t="s">
        <v>183</v>
      </c>
      <c r="Z19" s="1" t="s">
        <v>182</v>
      </c>
      <c r="AA19" s="1" t="s">
        <v>184</v>
      </c>
      <c r="AB19" s="1" t="s">
        <v>183</v>
      </c>
      <c r="AC19" s="1" t="s">
        <v>182</v>
      </c>
      <c r="AD19" s="1" t="s">
        <v>152</v>
      </c>
      <c r="AE19" s="1" t="s">
        <v>154</v>
      </c>
      <c r="AF19" s="1" t="s">
        <v>181</v>
      </c>
      <c r="AG19" s="3" t="s">
        <v>185</v>
      </c>
      <c r="AH19" s="2" t="s">
        <v>182</v>
      </c>
      <c r="AI19" s="1" t="s">
        <v>184</v>
      </c>
      <c r="AJ19" s="1" t="s">
        <v>154</v>
      </c>
      <c r="AK19" s="1" t="s">
        <v>195</v>
      </c>
      <c r="AL19" s="1" t="s">
        <v>154</v>
      </c>
      <c r="AM19" s="1" t="s">
        <v>192</v>
      </c>
      <c r="AN19" s="1" t="s">
        <v>188</v>
      </c>
      <c r="AO19" s="1" t="s">
        <v>196</v>
      </c>
    </row>
    <row r="20" spans="1:41" x14ac:dyDescent="0.3">
      <c r="A20" s="5">
        <v>46030</v>
      </c>
      <c r="B20" s="1" t="s">
        <v>39</v>
      </c>
      <c r="C20" s="1" t="s">
        <v>154</v>
      </c>
      <c r="D20" s="3">
        <f t="shared" ca="1" si="0"/>
        <v>29</v>
      </c>
      <c r="E20" s="1" t="s">
        <v>138</v>
      </c>
      <c r="F20" s="1" t="s">
        <v>3</v>
      </c>
      <c r="G20" s="1" t="s">
        <v>4</v>
      </c>
      <c r="H20" s="1" t="s">
        <v>150</v>
      </c>
      <c r="I20" s="1" t="s">
        <v>167</v>
      </c>
      <c r="J20" s="1" t="s">
        <v>153</v>
      </c>
      <c r="K20" s="3">
        <v>2</v>
      </c>
      <c r="L20" s="1" t="s">
        <v>171</v>
      </c>
      <c r="M20" s="1" t="s">
        <v>8</v>
      </c>
      <c r="N20" s="1" t="s">
        <v>174</v>
      </c>
      <c r="O20" s="1" t="s">
        <v>175</v>
      </c>
      <c r="P20" s="2" t="s">
        <v>179</v>
      </c>
      <c r="Q20" s="1" t="s">
        <v>180</v>
      </c>
      <c r="R20" s="1" t="s">
        <v>181</v>
      </c>
      <c r="S20" s="1" t="s">
        <v>182</v>
      </c>
      <c r="T20" s="2" t="s">
        <v>182</v>
      </c>
      <c r="U20" s="2" t="s">
        <v>182</v>
      </c>
      <c r="V20" s="2" t="s">
        <v>182</v>
      </c>
      <c r="W20" s="1" t="s">
        <v>184</v>
      </c>
      <c r="X20" s="2" t="s">
        <v>183</v>
      </c>
      <c r="Y20" s="1" t="s">
        <v>183</v>
      </c>
      <c r="Z20" s="1" t="s">
        <v>182</v>
      </c>
      <c r="AA20" s="1" t="s">
        <v>184</v>
      </c>
      <c r="AB20" s="1" t="s">
        <v>183</v>
      </c>
      <c r="AC20" s="1" t="s">
        <v>182</v>
      </c>
      <c r="AD20" s="1" t="s">
        <v>152</v>
      </c>
      <c r="AE20" s="1" t="s">
        <v>154</v>
      </c>
      <c r="AF20" s="2" t="s">
        <v>191</v>
      </c>
      <c r="AG20" s="3" t="s">
        <v>185</v>
      </c>
      <c r="AH20" s="2" t="s">
        <v>182</v>
      </c>
      <c r="AI20" s="1" t="s">
        <v>182</v>
      </c>
      <c r="AJ20" s="1" t="s">
        <v>154</v>
      </c>
      <c r="AK20" s="1" t="s">
        <v>195</v>
      </c>
      <c r="AL20" s="1" t="s">
        <v>154</v>
      </c>
      <c r="AM20" s="1" t="s">
        <v>192</v>
      </c>
      <c r="AN20" s="1" t="s">
        <v>188</v>
      </c>
      <c r="AO20" s="1" t="s">
        <v>196</v>
      </c>
    </row>
    <row r="21" spans="1:41" x14ac:dyDescent="0.3">
      <c r="A21" s="5">
        <v>46024</v>
      </c>
      <c r="B21" s="1" t="s">
        <v>40</v>
      </c>
      <c r="C21" s="1" t="s">
        <v>154</v>
      </c>
      <c r="D21" s="3">
        <f t="shared" ca="1" si="0"/>
        <v>33</v>
      </c>
      <c r="E21" s="1" t="s">
        <v>138</v>
      </c>
      <c r="F21" s="1" t="s">
        <v>3</v>
      </c>
      <c r="G21" s="1" t="s">
        <v>4</v>
      </c>
      <c r="H21" s="1" t="s">
        <v>150</v>
      </c>
      <c r="I21" s="1" t="s">
        <v>167</v>
      </c>
      <c r="J21" s="1" t="s">
        <v>153</v>
      </c>
      <c r="K21" s="3">
        <v>2</v>
      </c>
      <c r="L21" s="1" t="s">
        <v>171</v>
      </c>
      <c r="M21" s="1" t="s">
        <v>8</v>
      </c>
      <c r="N21" s="1" t="s">
        <v>174</v>
      </c>
      <c r="O21" s="1" t="s">
        <v>175</v>
      </c>
      <c r="P21" s="2" t="s">
        <v>179</v>
      </c>
      <c r="Q21" s="1" t="s">
        <v>180</v>
      </c>
      <c r="R21" s="1" t="s">
        <v>181</v>
      </c>
      <c r="S21" s="1" t="s">
        <v>182</v>
      </c>
      <c r="T21" s="2" t="s">
        <v>182</v>
      </c>
      <c r="U21" s="2" t="s">
        <v>182</v>
      </c>
      <c r="V21" s="2" t="s">
        <v>182</v>
      </c>
      <c r="W21" s="1" t="s">
        <v>184</v>
      </c>
      <c r="X21" s="2" t="s">
        <v>183</v>
      </c>
      <c r="Y21" s="1" t="s">
        <v>183</v>
      </c>
      <c r="Z21" s="1" t="s">
        <v>182</v>
      </c>
      <c r="AA21" s="1" t="s">
        <v>184</v>
      </c>
      <c r="AB21" s="1" t="s">
        <v>183</v>
      </c>
      <c r="AC21" s="1" t="s">
        <v>182</v>
      </c>
      <c r="AD21" s="1" t="s">
        <v>152</v>
      </c>
      <c r="AE21" s="1" t="s">
        <v>154</v>
      </c>
      <c r="AF21" s="2" t="s">
        <v>191</v>
      </c>
      <c r="AG21" s="3" t="s">
        <v>185</v>
      </c>
      <c r="AH21" s="2" t="s">
        <v>182</v>
      </c>
      <c r="AI21" s="1" t="s">
        <v>184</v>
      </c>
      <c r="AJ21" s="1" t="s">
        <v>154</v>
      </c>
      <c r="AK21" s="1" t="s">
        <v>195</v>
      </c>
      <c r="AL21" s="1" t="s">
        <v>154</v>
      </c>
      <c r="AM21" s="1" t="s">
        <v>192</v>
      </c>
      <c r="AN21" s="1" t="s">
        <v>188</v>
      </c>
      <c r="AO21" s="1" t="s">
        <v>196</v>
      </c>
    </row>
    <row r="22" spans="1:41" x14ac:dyDescent="0.3">
      <c r="A22" s="5">
        <v>46228</v>
      </c>
      <c r="B22" s="1" t="s">
        <v>41</v>
      </c>
      <c r="C22" s="1" t="s">
        <v>154</v>
      </c>
      <c r="D22" s="3">
        <f t="shared" ca="1" si="0"/>
        <v>22</v>
      </c>
      <c r="E22" s="1" t="s">
        <v>138</v>
      </c>
      <c r="F22" s="1" t="s">
        <v>3</v>
      </c>
      <c r="G22" s="1" t="s">
        <v>4</v>
      </c>
      <c r="H22" s="1" t="s">
        <v>150</v>
      </c>
      <c r="I22" s="1" t="s">
        <v>167</v>
      </c>
      <c r="J22" s="1" t="s">
        <v>153</v>
      </c>
      <c r="K22" s="3">
        <v>2</v>
      </c>
      <c r="L22" s="1" t="s">
        <v>171</v>
      </c>
      <c r="M22" s="1" t="s">
        <v>8</v>
      </c>
      <c r="N22" s="1" t="s">
        <v>174</v>
      </c>
      <c r="O22" s="1" t="s">
        <v>176</v>
      </c>
      <c r="P22" s="2" t="s">
        <v>179</v>
      </c>
      <c r="Q22" s="1" t="s">
        <v>180</v>
      </c>
      <c r="R22" s="1" t="s">
        <v>181</v>
      </c>
      <c r="S22" s="2" t="s">
        <v>183</v>
      </c>
      <c r="T22" s="2" t="s">
        <v>182</v>
      </c>
      <c r="U22" s="2" t="s">
        <v>182</v>
      </c>
      <c r="V22" s="2" t="s">
        <v>182</v>
      </c>
      <c r="W22" s="1" t="s">
        <v>184</v>
      </c>
      <c r="X22" s="2" t="s">
        <v>183</v>
      </c>
      <c r="Y22" s="1" t="s">
        <v>182</v>
      </c>
      <c r="Z22" s="1" t="s">
        <v>182</v>
      </c>
      <c r="AA22" s="1" t="s">
        <v>184</v>
      </c>
      <c r="AB22" s="1" t="s">
        <v>183</v>
      </c>
      <c r="AC22" s="1" t="s">
        <v>182</v>
      </c>
      <c r="AD22" s="1" t="s">
        <v>153</v>
      </c>
      <c r="AE22" s="1" t="s">
        <v>154</v>
      </c>
      <c r="AF22" s="2" t="s">
        <v>191</v>
      </c>
      <c r="AG22" s="3" t="s">
        <v>185</v>
      </c>
      <c r="AH22" s="2" t="s">
        <v>182</v>
      </c>
      <c r="AI22" s="1" t="s">
        <v>182</v>
      </c>
      <c r="AJ22" s="1" t="s">
        <v>154</v>
      </c>
      <c r="AK22" s="1" t="s">
        <v>186</v>
      </c>
      <c r="AL22" s="1" t="s">
        <v>154</v>
      </c>
      <c r="AM22" s="1" t="s">
        <v>187</v>
      </c>
      <c r="AN22" s="1" t="s">
        <v>188</v>
      </c>
      <c r="AO22" s="1" t="s">
        <v>189</v>
      </c>
    </row>
    <row r="23" spans="1:41" x14ac:dyDescent="0.3">
      <c r="A23" s="5">
        <v>46023</v>
      </c>
      <c r="B23" s="1" t="s">
        <v>42</v>
      </c>
      <c r="C23" s="1" t="s">
        <v>154</v>
      </c>
      <c r="D23" s="3">
        <f t="shared" ca="1" si="0"/>
        <v>41</v>
      </c>
      <c r="E23" s="1" t="s">
        <v>137</v>
      </c>
      <c r="F23" s="1" t="s">
        <v>3</v>
      </c>
      <c r="G23" s="1" t="s">
        <v>4</v>
      </c>
      <c r="H23" s="1" t="s">
        <v>150</v>
      </c>
      <c r="I23" s="1" t="s">
        <v>165</v>
      </c>
      <c r="J23" s="1" t="s">
        <v>153</v>
      </c>
      <c r="K23" s="3">
        <v>1</v>
      </c>
      <c r="L23" s="1" t="s">
        <v>171</v>
      </c>
      <c r="M23" s="1" t="s">
        <v>8</v>
      </c>
      <c r="N23" s="1" t="s">
        <v>174</v>
      </c>
      <c r="O23" s="1" t="s">
        <v>176</v>
      </c>
      <c r="P23" s="2" t="s">
        <v>179</v>
      </c>
      <c r="Q23" s="1" t="s">
        <v>180</v>
      </c>
      <c r="R23" s="1" t="s">
        <v>181</v>
      </c>
      <c r="S23" s="2" t="s">
        <v>183</v>
      </c>
      <c r="T23" s="2" t="s">
        <v>182</v>
      </c>
      <c r="U23" s="2" t="s">
        <v>182</v>
      </c>
      <c r="V23" s="2" t="s">
        <v>182</v>
      </c>
      <c r="W23" s="2" t="s">
        <v>182</v>
      </c>
      <c r="X23" s="2" t="s">
        <v>183</v>
      </c>
      <c r="Y23" s="1" t="s">
        <v>182</v>
      </c>
      <c r="Z23" s="1" t="s">
        <v>182</v>
      </c>
      <c r="AA23" s="1" t="s">
        <v>184</v>
      </c>
      <c r="AB23" s="1" t="s">
        <v>183</v>
      </c>
      <c r="AC23" s="1" t="s">
        <v>182</v>
      </c>
      <c r="AD23" s="1" t="s">
        <v>153</v>
      </c>
      <c r="AE23" s="1" t="s">
        <v>154</v>
      </c>
      <c r="AF23" s="2" t="s">
        <v>191</v>
      </c>
      <c r="AG23" s="3" t="s">
        <v>185</v>
      </c>
      <c r="AH23" s="2" t="s">
        <v>182</v>
      </c>
      <c r="AI23" s="1" t="s">
        <v>182</v>
      </c>
      <c r="AJ23" s="1" t="s">
        <v>154</v>
      </c>
      <c r="AK23" s="1" t="s">
        <v>186</v>
      </c>
      <c r="AL23" s="1" t="s">
        <v>154</v>
      </c>
      <c r="AM23" s="1" t="s">
        <v>192</v>
      </c>
      <c r="AN23" s="1" t="s">
        <v>193</v>
      </c>
      <c r="AO23" s="1" t="s">
        <v>194</v>
      </c>
    </row>
    <row r="24" spans="1:41" x14ac:dyDescent="0.3">
      <c r="A24" s="5">
        <v>46025</v>
      </c>
      <c r="B24" s="1" t="s">
        <v>43</v>
      </c>
      <c r="C24" s="1" t="s">
        <v>154</v>
      </c>
      <c r="D24" s="3">
        <f t="shared" ca="1" si="0"/>
        <v>28</v>
      </c>
      <c r="E24" s="1" t="s">
        <v>137</v>
      </c>
      <c r="F24" s="1" t="s">
        <v>3</v>
      </c>
      <c r="G24" s="1" t="s">
        <v>4</v>
      </c>
      <c r="H24" s="1" t="s">
        <v>150</v>
      </c>
      <c r="I24" s="1" t="s">
        <v>165</v>
      </c>
      <c r="J24" s="1" t="s">
        <v>153</v>
      </c>
      <c r="K24" s="3">
        <v>1</v>
      </c>
      <c r="L24" s="1" t="s">
        <v>171</v>
      </c>
      <c r="M24" s="1" t="s">
        <v>8</v>
      </c>
      <c r="N24" s="1" t="s">
        <v>174</v>
      </c>
      <c r="O24" s="1" t="s">
        <v>176</v>
      </c>
      <c r="P24" s="2" t="s">
        <v>179</v>
      </c>
      <c r="Q24" s="1" t="s">
        <v>180</v>
      </c>
      <c r="R24" s="1" t="s">
        <v>181</v>
      </c>
      <c r="S24" s="2" t="s">
        <v>183</v>
      </c>
      <c r="T24" s="2" t="s">
        <v>182</v>
      </c>
      <c r="U24" s="2" t="s">
        <v>182</v>
      </c>
      <c r="V24" s="2" t="s">
        <v>182</v>
      </c>
      <c r="W24" s="2" t="s">
        <v>182</v>
      </c>
      <c r="X24" s="2" t="s">
        <v>183</v>
      </c>
      <c r="Y24" s="1" t="s">
        <v>182</v>
      </c>
      <c r="Z24" s="1" t="s">
        <v>182</v>
      </c>
      <c r="AA24" s="1" t="s">
        <v>184</v>
      </c>
      <c r="AB24" s="1" t="s">
        <v>183</v>
      </c>
      <c r="AC24" s="1" t="s">
        <v>182</v>
      </c>
      <c r="AD24" s="1" t="s">
        <v>153</v>
      </c>
      <c r="AE24" s="1" t="s">
        <v>154</v>
      </c>
      <c r="AF24" s="2" t="s">
        <v>191</v>
      </c>
      <c r="AG24" s="3" t="s">
        <v>185</v>
      </c>
      <c r="AH24" s="2" t="s">
        <v>182</v>
      </c>
      <c r="AI24" s="1" t="s">
        <v>184</v>
      </c>
      <c r="AJ24" s="1" t="s">
        <v>154</v>
      </c>
      <c r="AK24" s="1" t="s">
        <v>195</v>
      </c>
      <c r="AL24" s="1" t="s">
        <v>154</v>
      </c>
      <c r="AM24" s="1" t="s">
        <v>192</v>
      </c>
      <c r="AN24" s="1" t="s">
        <v>188</v>
      </c>
      <c r="AO24" s="1" t="s">
        <v>196</v>
      </c>
    </row>
    <row r="25" spans="1:41" x14ac:dyDescent="0.3">
      <c r="A25" s="5">
        <v>46030</v>
      </c>
      <c r="B25" s="1" t="s">
        <v>44</v>
      </c>
      <c r="C25" s="1" t="s">
        <v>154</v>
      </c>
      <c r="D25" s="3">
        <f t="shared" ca="1" si="0"/>
        <v>39</v>
      </c>
      <c r="E25" s="1" t="s">
        <v>137</v>
      </c>
      <c r="F25" s="1" t="s">
        <v>3</v>
      </c>
      <c r="G25" s="1" t="s">
        <v>4</v>
      </c>
      <c r="H25" s="1" t="s">
        <v>150</v>
      </c>
      <c r="I25" s="1" t="s">
        <v>165</v>
      </c>
      <c r="J25" s="1" t="s">
        <v>153</v>
      </c>
      <c r="K25" s="3">
        <v>1</v>
      </c>
      <c r="L25" s="2" t="s">
        <v>168</v>
      </c>
      <c r="M25" s="1" t="s">
        <v>8</v>
      </c>
      <c r="N25" s="2" t="s">
        <v>172</v>
      </c>
      <c r="O25" s="1" t="s">
        <v>176</v>
      </c>
      <c r="P25" s="2" t="s">
        <v>179</v>
      </c>
      <c r="Q25" s="1" t="s">
        <v>180</v>
      </c>
      <c r="R25" s="1" t="s">
        <v>181</v>
      </c>
      <c r="S25" s="2" t="s">
        <v>183</v>
      </c>
      <c r="T25" s="2" t="s">
        <v>182</v>
      </c>
      <c r="U25" s="2" t="s">
        <v>182</v>
      </c>
      <c r="V25" s="2" t="s">
        <v>182</v>
      </c>
      <c r="W25" s="2" t="s">
        <v>182</v>
      </c>
      <c r="X25" s="2" t="s">
        <v>183</v>
      </c>
      <c r="Y25" s="1" t="s">
        <v>182</v>
      </c>
      <c r="Z25" s="1" t="s">
        <v>182</v>
      </c>
      <c r="AA25" s="1" t="s">
        <v>184</v>
      </c>
      <c r="AB25" s="1" t="s">
        <v>183</v>
      </c>
      <c r="AC25" s="1" t="s">
        <v>182</v>
      </c>
      <c r="AD25" s="1" t="s">
        <v>153</v>
      </c>
      <c r="AE25" s="1" t="s">
        <v>154</v>
      </c>
      <c r="AF25" s="2" t="s">
        <v>191</v>
      </c>
      <c r="AG25" s="3" t="s">
        <v>185</v>
      </c>
      <c r="AH25" s="2" t="s">
        <v>182</v>
      </c>
      <c r="AI25" s="1" t="s">
        <v>182</v>
      </c>
      <c r="AJ25" s="1" t="s">
        <v>154</v>
      </c>
      <c r="AK25" s="1" t="s">
        <v>195</v>
      </c>
      <c r="AL25" s="1" t="s">
        <v>154</v>
      </c>
      <c r="AM25" s="1" t="s">
        <v>192</v>
      </c>
      <c r="AN25" s="1" t="s">
        <v>188</v>
      </c>
      <c r="AO25" s="1" t="s">
        <v>196</v>
      </c>
    </row>
    <row r="26" spans="1:41" x14ac:dyDescent="0.3">
      <c r="A26" s="5">
        <v>46024</v>
      </c>
      <c r="B26" s="1" t="s">
        <v>45</v>
      </c>
      <c r="C26" s="1" t="s">
        <v>154</v>
      </c>
      <c r="D26" s="3">
        <f t="shared" ca="1" si="0"/>
        <v>34</v>
      </c>
      <c r="E26" s="1" t="s">
        <v>137</v>
      </c>
      <c r="F26" s="1" t="s">
        <v>3</v>
      </c>
      <c r="G26" s="1" t="s">
        <v>4</v>
      </c>
      <c r="H26" s="1" t="s">
        <v>150</v>
      </c>
      <c r="I26" s="1" t="s">
        <v>165</v>
      </c>
      <c r="J26" s="1" t="s">
        <v>153</v>
      </c>
      <c r="K26" s="3">
        <v>1</v>
      </c>
      <c r="L26" s="2" t="s">
        <v>168</v>
      </c>
      <c r="M26" s="1" t="s">
        <v>8</v>
      </c>
      <c r="N26" s="2" t="s">
        <v>172</v>
      </c>
      <c r="O26" s="1" t="s">
        <v>176</v>
      </c>
      <c r="P26" s="2" t="s">
        <v>179</v>
      </c>
      <c r="Q26" s="1" t="s">
        <v>180</v>
      </c>
      <c r="R26" s="1" t="s">
        <v>181</v>
      </c>
      <c r="S26" s="2" t="s">
        <v>183</v>
      </c>
      <c r="T26" s="2" t="s">
        <v>182</v>
      </c>
      <c r="U26" s="2" t="s">
        <v>182</v>
      </c>
      <c r="V26" s="2" t="s">
        <v>182</v>
      </c>
      <c r="W26" s="2" t="s">
        <v>182</v>
      </c>
      <c r="X26" s="2" t="s">
        <v>183</v>
      </c>
      <c r="Y26" s="1" t="s">
        <v>182</v>
      </c>
      <c r="Z26" s="1" t="s">
        <v>182</v>
      </c>
      <c r="AA26" s="1" t="s">
        <v>184</v>
      </c>
      <c r="AB26" s="1" t="s">
        <v>183</v>
      </c>
      <c r="AC26" s="1" t="s">
        <v>182</v>
      </c>
      <c r="AD26" s="1" t="s">
        <v>153</v>
      </c>
      <c r="AE26" s="1" t="s">
        <v>154</v>
      </c>
      <c r="AF26" s="2" t="s">
        <v>191</v>
      </c>
      <c r="AG26" s="3" t="s">
        <v>185</v>
      </c>
      <c r="AH26" s="2" t="s">
        <v>182</v>
      </c>
      <c r="AI26" s="1" t="s">
        <v>184</v>
      </c>
      <c r="AJ26" s="1" t="s">
        <v>154</v>
      </c>
      <c r="AK26" s="1" t="s">
        <v>195</v>
      </c>
      <c r="AL26" s="1" t="s">
        <v>154</v>
      </c>
      <c r="AM26" s="1" t="s">
        <v>192</v>
      </c>
      <c r="AN26" s="1" t="s">
        <v>188</v>
      </c>
      <c r="AO26" s="1" t="s">
        <v>196</v>
      </c>
    </row>
    <row r="27" spans="1:41" x14ac:dyDescent="0.3">
      <c r="A27" s="5">
        <v>46228</v>
      </c>
      <c r="B27" s="1" t="s">
        <v>46</v>
      </c>
      <c r="C27" s="1" t="s">
        <v>154</v>
      </c>
      <c r="D27" s="3">
        <f t="shared" ca="1" si="0"/>
        <v>25</v>
      </c>
      <c r="E27" s="1" t="s">
        <v>137</v>
      </c>
      <c r="F27" s="1" t="s">
        <v>3</v>
      </c>
      <c r="G27" s="1" t="s">
        <v>4</v>
      </c>
      <c r="H27" s="1" t="s">
        <v>150</v>
      </c>
      <c r="I27" s="1" t="s">
        <v>165</v>
      </c>
      <c r="J27" s="1" t="s">
        <v>153</v>
      </c>
      <c r="K27" s="3">
        <v>1</v>
      </c>
      <c r="L27" s="2" t="s">
        <v>168</v>
      </c>
      <c r="M27" s="1" t="s">
        <v>8</v>
      </c>
      <c r="N27" s="2" t="s">
        <v>172</v>
      </c>
      <c r="O27" s="1" t="s">
        <v>176</v>
      </c>
      <c r="P27" s="2" t="s">
        <v>179</v>
      </c>
      <c r="Q27" s="1" t="s">
        <v>180</v>
      </c>
      <c r="R27" s="1" t="s">
        <v>181</v>
      </c>
      <c r="S27" s="2" t="s">
        <v>183</v>
      </c>
      <c r="T27" s="2" t="s">
        <v>183</v>
      </c>
      <c r="U27" s="2" t="s">
        <v>182</v>
      </c>
      <c r="V27" s="2" t="s">
        <v>182</v>
      </c>
      <c r="W27" s="2" t="s">
        <v>182</v>
      </c>
      <c r="X27" s="2" t="s">
        <v>183</v>
      </c>
      <c r="Y27" s="1" t="s">
        <v>182</v>
      </c>
      <c r="Z27" s="1" t="s">
        <v>182</v>
      </c>
      <c r="AA27" s="1" t="s">
        <v>184</v>
      </c>
      <c r="AB27" s="1" t="s">
        <v>183</v>
      </c>
      <c r="AC27" s="1" t="s">
        <v>182</v>
      </c>
      <c r="AD27" s="1" t="s">
        <v>153</v>
      </c>
      <c r="AE27" s="1" t="s">
        <v>154</v>
      </c>
      <c r="AF27" s="2" t="s">
        <v>191</v>
      </c>
      <c r="AG27" s="3" t="s">
        <v>185</v>
      </c>
      <c r="AH27" s="2" t="s">
        <v>182</v>
      </c>
      <c r="AI27" s="1" t="s">
        <v>182</v>
      </c>
      <c r="AJ27" s="1" t="s">
        <v>154</v>
      </c>
      <c r="AK27" s="1" t="s">
        <v>186</v>
      </c>
      <c r="AL27" s="1" t="s">
        <v>154</v>
      </c>
      <c r="AM27" s="1" t="s">
        <v>187</v>
      </c>
      <c r="AN27" s="1" t="s">
        <v>188</v>
      </c>
      <c r="AO27" s="1" t="s">
        <v>189</v>
      </c>
    </row>
    <row r="28" spans="1:41" x14ac:dyDescent="0.3">
      <c r="A28" s="5">
        <v>46023</v>
      </c>
      <c r="B28" s="1" t="s">
        <v>47</v>
      </c>
      <c r="C28" s="1" t="s">
        <v>154</v>
      </c>
      <c r="D28" s="3">
        <f t="shared" ca="1" si="0"/>
        <v>43</v>
      </c>
      <c r="E28" s="1" t="s">
        <v>137</v>
      </c>
      <c r="F28" s="1" t="s">
        <v>3</v>
      </c>
      <c r="G28" s="1" t="s">
        <v>4</v>
      </c>
      <c r="H28" s="1" t="s">
        <v>150</v>
      </c>
      <c r="I28" s="1" t="s">
        <v>165</v>
      </c>
      <c r="J28" s="1" t="s">
        <v>153</v>
      </c>
      <c r="K28" s="3">
        <v>1</v>
      </c>
      <c r="L28" s="2" t="s">
        <v>168</v>
      </c>
      <c r="M28" s="1" t="s">
        <v>8</v>
      </c>
      <c r="N28" s="2" t="s">
        <v>172</v>
      </c>
      <c r="O28" s="1" t="s">
        <v>176</v>
      </c>
      <c r="P28" s="2" t="s">
        <v>179</v>
      </c>
      <c r="Q28" s="1" t="s">
        <v>180</v>
      </c>
      <c r="R28" s="1" t="s">
        <v>181</v>
      </c>
      <c r="S28" s="2" t="s">
        <v>183</v>
      </c>
      <c r="T28" s="2" t="s">
        <v>183</v>
      </c>
      <c r="U28" s="2" t="s">
        <v>182</v>
      </c>
      <c r="V28" s="2" t="s">
        <v>182</v>
      </c>
      <c r="W28" s="2" t="s">
        <v>182</v>
      </c>
      <c r="X28" s="2" t="s">
        <v>183</v>
      </c>
      <c r="Y28" s="1" t="s">
        <v>182</v>
      </c>
      <c r="Z28" s="1" t="s">
        <v>182</v>
      </c>
      <c r="AA28" s="1" t="s">
        <v>184</v>
      </c>
      <c r="AB28" s="1" t="s">
        <v>183</v>
      </c>
      <c r="AC28" s="1" t="s">
        <v>182</v>
      </c>
      <c r="AD28" s="1" t="s">
        <v>153</v>
      </c>
      <c r="AE28" s="1" t="s">
        <v>154</v>
      </c>
      <c r="AF28" s="2" t="s">
        <v>191</v>
      </c>
      <c r="AG28" s="3" t="s">
        <v>185</v>
      </c>
      <c r="AH28" s="2" t="s">
        <v>182</v>
      </c>
      <c r="AI28" s="1" t="s">
        <v>182</v>
      </c>
      <c r="AJ28" s="1" t="s">
        <v>154</v>
      </c>
      <c r="AK28" s="1" t="s">
        <v>186</v>
      </c>
      <c r="AL28" s="1" t="s">
        <v>154</v>
      </c>
      <c r="AM28" s="1" t="s">
        <v>192</v>
      </c>
      <c r="AN28" s="1" t="s">
        <v>193</v>
      </c>
      <c r="AO28" s="1" t="s">
        <v>194</v>
      </c>
    </row>
    <row r="29" spans="1:41" x14ac:dyDescent="0.3">
      <c r="A29" s="5">
        <v>46025</v>
      </c>
      <c r="B29" s="1" t="s">
        <v>48</v>
      </c>
      <c r="C29" s="1" t="s">
        <v>154</v>
      </c>
      <c r="D29" s="3">
        <f t="shared" ca="1" si="0"/>
        <v>22</v>
      </c>
      <c r="E29" s="1" t="s">
        <v>137</v>
      </c>
      <c r="F29" s="1" t="s">
        <v>3</v>
      </c>
      <c r="G29" s="1" t="s">
        <v>4</v>
      </c>
      <c r="H29" s="1" t="s">
        <v>150</v>
      </c>
      <c r="I29" s="1" t="s">
        <v>165</v>
      </c>
      <c r="J29" s="1" t="s">
        <v>153</v>
      </c>
      <c r="K29" s="3">
        <v>1</v>
      </c>
      <c r="L29" s="2" t="s">
        <v>168</v>
      </c>
      <c r="M29" s="1" t="s">
        <v>8</v>
      </c>
      <c r="N29" s="2" t="s">
        <v>172</v>
      </c>
      <c r="O29" s="1" t="s">
        <v>176</v>
      </c>
      <c r="P29" s="2" t="s">
        <v>179</v>
      </c>
      <c r="Q29" s="1" t="s">
        <v>180</v>
      </c>
      <c r="R29" s="1" t="s">
        <v>181</v>
      </c>
      <c r="S29" s="2" t="s">
        <v>183</v>
      </c>
      <c r="T29" s="2" t="s">
        <v>183</v>
      </c>
      <c r="U29" s="2" t="s">
        <v>182</v>
      </c>
      <c r="V29" s="2" t="s">
        <v>182</v>
      </c>
      <c r="W29" s="2" t="s">
        <v>182</v>
      </c>
      <c r="X29" s="2" t="s">
        <v>183</v>
      </c>
      <c r="Y29" s="1" t="s">
        <v>182</v>
      </c>
      <c r="Z29" s="1" t="s">
        <v>182</v>
      </c>
      <c r="AA29" s="1" t="s">
        <v>184</v>
      </c>
      <c r="AB29" s="1" t="s">
        <v>183</v>
      </c>
      <c r="AC29" s="1" t="s">
        <v>182</v>
      </c>
      <c r="AD29" s="1" t="s">
        <v>153</v>
      </c>
      <c r="AE29" s="1" t="s">
        <v>154</v>
      </c>
      <c r="AF29" s="2" t="s">
        <v>191</v>
      </c>
      <c r="AG29" s="3" t="s">
        <v>185</v>
      </c>
      <c r="AH29" s="2" t="s">
        <v>182</v>
      </c>
      <c r="AI29" s="1" t="s">
        <v>184</v>
      </c>
      <c r="AJ29" s="1" t="s">
        <v>154</v>
      </c>
      <c r="AK29" s="1" t="s">
        <v>195</v>
      </c>
      <c r="AL29" s="1" t="s">
        <v>154</v>
      </c>
      <c r="AM29" s="1" t="s">
        <v>192</v>
      </c>
      <c r="AN29" s="1" t="s">
        <v>188</v>
      </c>
      <c r="AO29" s="1" t="s">
        <v>196</v>
      </c>
    </row>
    <row r="30" spans="1:41" x14ac:dyDescent="0.3">
      <c r="A30" s="5">
        <v>46030</v>
      </c>
      <c r="B30" s="1" t="s">
        <v>49</v>
      </c>
      <c r="C30" s="1" t="s">
        <v>154</v>
      </c>
      <c r="D30" s="3">
        <f t="shared" ca="1" si="0"/>
        <v>36</v>
      </c>
      <c r="E30" s="1" t="s">
        <v>137</v>
      </c>
      <c r="F30" s="1" t="s">
        <v>3</v>
      </c>
      <c r="G30" s="1" t="s">
        <v>4</v>
      </c>
      <c r="H30" s="1" t="s">
        <v>150</v>
      </c>
      <c r="I30" s="1" t="s">
        <v>165</v>
      </c>
      <c r="J30" s="1" t="s">
        <v>153</v>
      </c>
      <c r="K30" s="3">
        <v>1</v>
      </c>
      <c r="L30" s="2" t="s">
        <v>168</v>
      </c>
      <c r="M30" s="1" t="s">
        <v>8</v>
      </c>
      <c r="N30" s="2" t="s">
        <v>172</v>
      </c>
      <c r="O30" s="1" t="s">
        <v>176</v>
      </c>
      <c r="P30" s="2" t="s">
        <v>179</v>
      </c>
      <c r="Q30" s="1" t="s">
        <v>180</v>
      </c>
      <c r="R30" s="1" t="s">
        <v>181</v>
      </c>
      <c r="S30" s="2" t="s">
        <v>183</v>
      </c>
      <c r="T30" s="2" t="s">
        <v>183</v>
      </c>
      <c r="U30" s="2" t="s">
        <v>183</v>
      </c>
      <c r="V30" s="2" t="s">
        <v>183</v>
      </c>
      <c r="W30" s="2" t="s">
        <v>182</v>
      </c>
      <c r="X30" s="2" t="s">
        <v>183</v>
      </c>
      <c r="Y30" s="1" t="s">
        <v>182</v>
      </c>
      <c r="Z30" s="1" t="s">
        <v>182</v>
      </c>
      <c r="AA30" s="1" t="s">
        <v>184</v>
      </c>
      <c r="AB30" s="1" t="s">
        <v>183</v>
      </c>
      <c r="AC30" s="1" t="s">
        <v>182</v>
      </c>
      <c r="AD30" s="1" t="s">
        <v>153</v>
      </c>
      <c r="AE30" s="1" t="s">
        <v>154</v>
      </c>
      <c r="AF30" s="2" t="s">
        <v>191</v>
      </c>
      <c r="AG30" s="3" t="s">
        <v>185</v>
      </c>
      <c r="AH30" s="2" t="s">
        <v>182</v>
      </c>
      <c r="AI30" s="1" t="s">
        <v>182</v>
      </c>
      <c r="AJ30" s="1" t="s">
        <v>154</v>
      </c>
      <c r="AK30" s="1" t="s">
        <v>195</v>
      </c>
      <c r="AL30" s="1" t="s">
        <v>154</v>
      </c>
      <c r="AM30" s="1" t="s">
        <v>192</v>
      </c>
      <c r="AN30" s="1" t="s">
        <v>188</v>
      </c>
      <c r="AO30" s="1" t="s">
        <v>196</v>
      </c>
    </row>
    <row r="31" spans="1:41" x14ac:dyDescent="0.3">
      <c r="A31" s="5">
        <v>46024</v>
      </c>
      <c r="B31" s="1" t="s">
        <v>50</v>
      </c>
      <c r="C31" s="1" t="s">
        <v>154</v>
      </c>
      <c r="D31" s="3">
        <f t="shared" ca="1" si="0"/>
        <v>25</v>
      </c>
      <c r="E31" s="1" t="s">
        <v>137</v>
      </c>
      <c r="F31" s="1" t="s">
        <v>3</v>
      </c>
      <c r="G31" s="1" t="s">
        <v>4</v>
      </c>
      <c r="H31" s="1" t="s">
        <v>150</v>
      </c>
      <c r="I31" s="1" t="s">
        <v>165</v>
      </c>
      <c r="J31" s="1" t="s">
        <v>153</v>
      </c>
      <c r="K31" s="3">
        <v>1</v>
      </c>
      <c r="L31" s="2" t="s">
        <v>168</v>
      </c>
      <c r="M31" s="1" t="s">
        <v>8</v>
      </c>
      <c r="N31" s="2" t="s">
        <v>172</v>
      </c>
      <c r="O31" s="1" t="s">
        <v>176</v>
      </c>
      <c r="P31" s="2" t="s">
        <v>178</v>
      </c>
      <c r="Q31" s="1" t="s">
        <v>180</v>
      </c>
      <c r="R31" s="1" t="s">
        <v>181</v>
      </c>
      <c r="S31" s="2" t="s">
        <v>183</v>
      </c>
      <c r="T31" s="2" t="s">
        <v>183</v>
      </c>
      <c r="U31" s="2" t="s">
        <v>183</v>
      </c>
      <c r="V31" s="2" t="s">
        <v>183</v>
      </c>
      <c r="W31" s="2" t="s">
        <v>182</v>
      </c>
      <c r="X31" s="2" t="s">
        <v>183</v>
      </c>
      <c r="Y31" s="1" t="s">
        <v>182</v>
      </c>
      <c r="Z31" s="1" t="s">
        <v>182</v>
      </c>
      <c r="AA31" s="1" t="s">
        <v>184</v>
      </c>
      <c r="AB31" s="1" t="s">
        <v>183</v>
      </c>
      <c r="AC31" s="1" t="s">
        <v>182</v>
      </c>
      <c r="AD31" s="1" t="s">
        <v>153</v>
      </c>
      <c r="AE31" s="1" t="s">
        <v>154</v>
      </c>
      <c r="AF31" s="2" t="s">
        <v>191</v>
      </c>
      <c r="AG31" s="3" t="s">
        <v>185</v>
      </c>
      <c r="AH31" s="2" t="s">
        <v>182</v>
      </c>
      <c r="AI31" s="1" t="s">
        <v>184</v>
      </c>
      <c r="AJ31" s="1" t="s">
        <v>154</v>
      </c>
      <c r="AK31" s="1" t="s">
        <v>195</v>
      </c>
      <c r="AL31" s="1" t="s">
        <v>154</v>
      </c>
      <c r="AM31" s="1" t="s">
        <v>192</v>
      </c>
      <c r="AN31" s="1" t="s">
        <v>188</v>
      </c>
      <c r="AO31" s="1" t="s">
        <v>196</v>
      </c>
    </row>
    <row r="32" spans="1:41" x14ac:dyDescent="0.3">
      <c r="A32" s="5">
        <v>46228</v>
      </c>
      <c r="B32" s="1" t="s">
        <v>51</v>
      </c>
      <c r="C32" s="1" t="s">
        <v>154</v>
      </c>
      <c r="D32" s="3">
        <f t="shared" ca="1" si="0"/>
        <v>41</v>
      </c>
      <c r="E32" s="1" t="s">
        <v>137</v>
      </c>
      <c r="F32" s="1" t="s">
        <v>3</v>
      </c>
      <c r="G32" s="1" t="s">
        <v>4</v>
      </c>
      <c r="H32" s="1" t="s">
        <v>150</v>
      </c>
      <c r="I32" s="1" t="s">
        <v>165</v>
      </c>
      <c r="J32" s="1" t="s">
        <v>153</v>
      </c>
      <c r="K32" s="3">
        <v>1</v>
      </c>
      <c r="L32" s="2" t="s">
        <v>168</v>
      </c>
      <c r="M32" s="1" t="s">
        <v>8</v>
      </c>
      <c r="N32" s="2" t="s">
        <v>172</v>
      </c>
      <c r="O32" s="1" t="s">
        <v>176</v>
      </c>
      <c r="P32" s="2" t="s">
        <v>178</v>
      </c>
      <c r="Q32" s="1" t="s">
        <v>180</v>
      </c>
      <c r="R32" s="1" t="s">
        <v>181</v>
      </c>
      <c r="S32" s="2" t="s">
        <v>183</v>
      </c>
      <c r="T32" s="2" t="s">
        <v>183</v>
      </c>
      <c r="U32" s="2" t="s">
        <v>183</v>
      </c>
      <c r="V32" s="2" t="s">
        <v>183</v>
      </c>
      <c r="W32" s="2" t="s">
        <v>182</v>
      </c>
      <c r="X32" s="2" t="s">
        <v>183</v>
      </c>
      <c r="Y32" s="1" t="s">
        <v>182</v>
      </c>
      <c r="Z32" s="1" t="s">
        <v>182</v>
      </c>
      <c r="AA32" s="1" t="s">
        <v>184</v>
      </c>
      <c r="AB32" s="1" t="s">
        <v>183</v>
      </c>
      <c r="AC32" s="1" t="s">
        <v>182</v>
      </c>
      <c r="AD32" s="1" t="s">
        <v>153</v>
      </c>
      <c r="AE32" s="1" t="s">
        <v>154</v>
      </c>
      <c r="AF32" s="2" t="s">
        <v>191</v>
      </c>
      <c r="AG32" s="3" t="s">
        <v>185</v>
      </c>
      <c r="AH32" s="2" t="s">
        <v>182</v>
      </c>
      <c r="AI32" s="1" t="s">
        <v>182</v>
      </c>
      <c r="AJ32" s="1" t="s">
        <v>154</v>
      </c>
      <c r="AK32" s="1" t="s">
        <v>186</v>
      </c>
      <c r="AL32" s="1" t="s">
        <v>154</v>
      </c>
      <c r="AM32" s="1" t="s">
        <v>187</v>
      </c>
      <c r="AN32" s="1" t="s">
        <v>188</v>
      </c>
      <c r="AO32" s="1" t="s">
        <v>189</v>
      </c>
    </row>
    <row r="33" spans="1:41" x14ac:dyDescent="0.3">
      <c r="A33" s="5">
        <v>46023</v>
      </c>
      <c r="B33" s="1" t="s">
        <v>52</v>
      </c>
      <c r="C33" s="1" t="s">
        <v>154</v>
      </c>
      <c r="D33" s="3">
        <f t="shared" ca="1" si="0"/>
        <v>48</v>
      </c>
      <c r="E33" s="1" t="s">
        <v>137</v>
      </c>
      <c r="F33" s="1" t="s">
        <v>3</v>
      </c>
      <c r="G33" s="1" t="s">
        <v>4</v>
      </c>
      <c r="H33" s="1" t="s">
        <v>150</v>
      </c>
      <c r="I33" s="1" t="s">
        <v>165</v>
      </c>
      <c r="J33" s="1" t="s">
        <v>153</v>
      </c>
      <c r="K33" s="3">
        <v>1</v>
      </c>
      <c r="L33" s="2" t="s">
        <v>168</v>
      </c>
      <c r="M33" s="1" t="s">
        <v>8</v>
      </c>
      <c r="N33" s="2" t="s">
        <v>172</v>
      </c>
      <c r="O33" s="1" t="s">
        <v>176</v>
      </c>
      <c r="P33" s="2" t="s">
        <v>178</v>
      </c>
      <c r="Q33" s="1" t="s">
        <v>180</v>
      </c>
      <c r="R33" s="1" t="s">
        <v>181</v>
      </c>
      <c r="S33" s="2" t="s">
        <v>183</v>
      </c>
      <c r="T33" s="2" t="s">
        <v>183</v>
      </c>
      <c r="U33" s="2" t="s">
        <v>183</v>
      </c>
      <c r="V33" s="2" t="s">
        <v>183</v>
      </c>
      <c r="W33" s="2" t="s">
        <v>182</v>
      </c>
      <c r="X33" s="2" t="s">
        <v>183</v>
      </c>
      <c r="Y33" s="1" t="s">
        <v>182</v>
      </c>
      <c r="Z33" s="1" t="s">
        <v>182</v>
      </c>
      <c r="AA33" s="1" t="s">
        <v>184</v>
      </c>
      <c r="AB33" s="1" t="s">
        <v>183</v>
      </c>
      <c r="AC33" s="1" t="s">
        <v>182</v>
      </c>
      <c r="AD33" s="1" t="s">
        <v>153</v>
      </c>
      <c r="AE33" s="1" t="s">
        <v>154</v>
      </c>
      <c r="AF33" s="2" t="s">
        <v>191</v>
      </c>
      <c r="AG33" s="3" t="s">
        <v>185</v>
      </c>
      <c r="AH33" s="2" t="s">
        <v>182</v>
      </c>
      <c r="AI33" s="1" t="s">
        <v>182</v>
      </c>
      <c r="AJ33" s="1" t="s">
        <v>154</v>
      </c>
      <c r="AK33" s="1" t="s">
        <v>186</v>
      </c>
      <c r="AL33" s="1" t="s">
        <v>154</v>
      </c>
      <c r="AM33" s="1" t="s">
        <v>192</v>
      </c>
      <c r="AN33" s="1" t="s">
        <v>193</v>
      </c>
      <c r="AO33" s="1" t="s">
        <v>194</v>
      </c>
    </row>
    <row r="34" spans="1:41" x14ac:dyDescent="0.3">
      <c r="A34" s="5">
        <v>46025</v>
      </c>
      <c r="B34" s="1" t="s">
        <v>53</v>
      </c>
      <c r="C34" s="1" t="s">
        <v>154</v>
      </c>
      <c r="D34" s="3">
        <f t="shared" ca="1" si="0"/>
        <v>46</v>
      </c>
      <c r="E34" s="1" t="s">
        <v>137</v>
      </c>
      <c r="F34" s="1" t="s">
        <v>3</v>
      </c>
      <c r="G34" s="1" t="s">
        <v>4</v>
      </c>
      <c r="H34" s="1" t="s">
        <v>150</v>
      </c>
      <c r="I34" s="1" t="s">
        <v>165</v>
      </c>
      <c r="J34" s="1" t="s">
        <v>153</v>
      </c>
      <c r="K34" s="3">
        <v>1</v>
      </c>
      <c r="L34" s="2" t="s">
        <v>168</v>
      </c>
      <c r="M34" s="1" t="s">
        <v>8</v>
      </c>
      <c r="N34" s="2" t="s">
        <v>172</v>
      </c>
      <c r="O34" s="1" t="s">
        <v>176</v>
      </c>
      <c r="P34" s="2" t="s">
        <v>178</v>
      </c>
      <c r="Q34" s="1" t="s">
        <v>180</v>
      </c>
      <c r="R34" s="1" t="s">
        <v>181</v>
      </c>
      <c r="S34" s="2" t="s">
        <v>183</v>
      </c>
      <c r="T34" s="2" t="s">
        <v>183</v>
      </c>
      <c r="U34" s="2" t="s">
        <v>183</v>
      </c>
      <c r="V34" s="2" t="s">
        <v>183</v>
      </c>
      <c r="W34" s="2" t="s">
        <v>182</v>
      </c>
      <c r="X34" s="2" t="s">
        <v>183</v>
      </c>
      <c r="Y34" s="1" t="s">
        <v>182</v>
      </c>
      <c r="Z34" s="1" t="s">
        <v>182</v>
      </c>
      <c r="AA34" s="1" t="s">
        <v>184</v>
      </c>
      <c r="AB34" s="1" t="s">
        <v>183</v>
      </c>
      <c r="AC34" s="1" t="s">
        <v>182</v>
      </c>
      <c r="AD34" s="1" t="s">
        <v>153</v>
      </c>
      <c r="AE34" s="1" t="s">
        <v>154</v>
      </c>
      <c r="AF34" s="2" t="s">
        <v>191</v>
      </c>
      <c r="AG34" s="3" t="s">
        <v>185</v>
      </c>
      <c r="AH34" s="2" t="s">
        <v>182</v>
      </c>
      <c r="AI34" s="1" t="s">
        <v>184</v>
      </c>
      <c r="AJ34" s="1" t="s">
        <v>154</v>
      </c>
      <c r="AK34" s="1" t="s">
        <v>195</v>
      </c>
      <c r="AL34" s="1" t="s">
        <v>154</v>
      </c>
      <c r="AM34" s="1" t="s">
        <v>192</v>
      </c>
      <c r="AN34" s="1" t="s">
        <v>188</v>
      </c>
      <c r="AO34" s="1" t="s">
        <v>196</v>
      </c>
    </row>
    <row r="35" spans="1:41" x14ac:dyDescent="0.3">
      <c r="A35" s="5">
        <v>46030</v>
      </c>
      <c r="B35" s="1" t="s">
        <v>54</v>
      </c>
      <c r="C35" s="1" t="s">
        <v>154</v>
      </c>
      <c r="D35" s="3">
        <f t="shared" ca="1" si="0"/>
        <v>39</v>
      </c>
      <c r="E35" s="1" t="s">
        <v>137</v>
      </c>
      <c r="F35" s="1" t="s">
        <v>3</v>
      </c>
      <c r="G35" s="1" t="s">
        <v>4</v>
      </c>
      <c r="H35" s="2" t="s">
        <v>150</v>
      </c>
      <c r="I35" s="1" t="s">
        <v>165</v>
      </c>
      <c r="J35" s="1" t="s">
        <v>153</v>
      </c>
      <c r="K35" s="3">
        <v>1</v>
      </c>
      <c r="L35" s="2" t="s">
        <v>168</v>
      </c>
      <c r="M35" s="1" t="s">
        <v>8</v>
      </c>
      <c r="N35" s="2" t="s">
        <v>172</v>
      </c>
      <c r="O35" s="1" t="s">
        <v>177</v>
      </c>
      <c r="P35" s="2" t="s">
        <v>178</v>
      </c>
      <c r="Q35" s="1" t="s">
        <v>180</v>
      </c>
      <c r="R35" s="1" t="s">
        <v>181</v>
      </c>
      <c r="S35" s="2" t="s">
        <v>183</v>
      </c>
      <c r="T35" s="2" t="s">
        <v>183</v>
      </c>
      <c r="U35" s="2" t="s">
        <v>183</v>
      </c>
      <c r="V35" s="2" t="s">
        <v>183</v>
      </c>
      <c r="W35" s="2" t="s">
        <v>182</v>
      </c>
      <c r="X35" s="2" t="s">
        <v>183</v>
      </c>
      <c r="Y35" s="1" t="s">
        <v>182</v>
      </c>
      <c r="Z35" s="1" t="s">
        <v>182</v>
      </c>
      <c r="AA35" s="1" t="s">
        <v>184</v>
      </c>
      <c r="AB35" s="1" t="s">
        <v>183</v>
      </c>
      <c r="AC35" s="1" t="s">
        <v>182</v>
      </c>
      <c r="AD35" s="1" t="s">
        <v>153</v>
      </c>
      <c r="AE35" s="1" t="s">
        <v>154</v>
      </c>
      <c r="AF35" s="2" t="s">
        <v>191</v>
      </c>
      <c r="AG35" s="3" t="s">
        <v>185</v>
      </c>
      <c r="AH35" s="2" t="s">
        <v>182</v>
      </c>
      <c r="AI35" s="1" t="s">
        <v>182</v>
      </c>
      <c r="AJ35" s="1" t="s">
        <v>154</v>
      </c>
      <c r="AK35" s="1" t="s">
        <v>195</v>
      </c>
      <c r="AL35" s="1" t="s">
        <v>154</v>
      </c>
      <c r="AM35" s="1" t="s">
        <v>192</v>
      </c>
      <c r="AN35" s="1" t="s">
        <v>188</v>
      </c>
      <c r="AO35" s="1" t="s">
        <v>196</v>
      </c>
    </row>
    <row r="36" spans="1:41" x14ac:dyDescent="0.3">
      <c r="A36" s="5">
        <v>46024</v>
      </c>
      <c r="B36" s="1" t="s">
        <v>55</v>
      </c>
      <c r="C36" s="1" t="s">
        <v>154</v>
      </c>
      <c r="D36" s="3">
        <f t="shared" ca="1" si="0"/>
        <v>48</v>
      </c>
      <c r="E36" s="1" t="s">
        <v>137</v>
      </c>
      <c r="F36" s="1" t="s">
        <v>3</v>
      </c>
      <c r="G36" s="1" t="s">
        <v>4</v>
      </c>
      <c r="H36" s="2" t="s">
        <v>150</v>
      </c>
      <c r="I36" s="1" t="s">
        <v>165</v>
      </c>
      <c r="J36" s="1" t="s">
        <v>153</v>
      </c>
      <c r="K36" s="3">
        <v>1</v>
      </c>
      <c r="L36" s="2" t="s">
        <v>168</v>
      </c>
      <c r="M36" s="1" t="s">
        <v>8</v>
      </c>
      <c r="N36" s="2" t="s">
        <v>172</v>
      </c>
      <c r="O36" s="1" t="s">
        <v>177</v>
      </c>
      <c r="P36" s="2" t="s">
        <v>178</v>
      </c>
      <c r="Q36" s="1" t="s">
        <v>180</v>
      </c>
      <c r="R36" s="1" t="s">
        <v>181</v>
      </c>
      <c r="S36" s="2" t="s">
        <v>182</v>
      </c>
      <c r="T36" s="2" t="s">
        <v>183</v>
      </c>
      <c r="U36" s="2" t="s">
        <v>183</v>
      </c>
      <c r="V36" s="2" t="s">
        <v>183</v>
      </c>
      <c r="W36" s="2" t="s">
        <v>182</v>
      </c>
      <c r="X36" s="2" t="s">
        <v>183</v>
      </c>
      <c r="Y36" s="1" t="s">
        <v>182</v>
      </c>
      <c r="Z36" s="1" t="s">
        <v>182</v>
      </c>
      <c r="AA36" s="1" t="s">
        <v>184</v>
      </c>
      <c r="AB36" s="1" t="s">
        <v>183</v>
      </c>
      <c r="AC36" s="1" t="s">
        <v>182</v>
      </c>
      <c r="AD36" s="1" t="s">
        <v>153</v>
      </c>
      <c r="AE36" s="1" t="s">
        <v>154</v>
      </c>
      <c r="AF36" s="2" t="s">
        <v>191</v>
      </c>
      <c r="AG36" s="3" t="s">
        <v>185</v>
      </c>
      <c r="AH36" s="2" t="s">
        <v>182</v>
      </c>
      <c r="AI36" s="1" t="s">
        <v>184</v>
      </c>
      <c r="AJ36" s="1" t="s">
        <v>154</v>
      </c>
      <c r="AK36" s="1" t="s">
        <v>195</v>
      </c>
      <c r="AL36" s="1" t="s">
        <v>154</v>
      </c>
      <c r="AM36" s="1" t="s">
        <v>192</v>
      </c>
      <c r="AN36" s="1" t="s">
        <v>188</v>
      </c>
      <c r="AO36" s="1" t="s">
        <v>196</v>
      </c>
    </row>
    <row r="37" spans="1:41" x14ac:dyDescent="0.3">
      <c r="A37" s="5">
        <v>46228</v>
      </c>
      <c r="B37" s="1" t="s">
        <v>56</v>
      </c>
      <c r="C37" s="1" t="s">
        <v>154</v>
      </c>
      <c r="D37" s="3">
        <f t="shared" ca="1" si="0"/>
        <v>30</v>
      </c>
      <c r="E37" s="1" t="s">
        <v>137</v>
      </c>
      <c r="F37" s="1" t="s">
        <v>3</v>
      </c>
      <c r="G37" s="1" t="s">
        <v>4</v>
      </c>
      <c r="H37" s="2" t="s">
        <v>150</v>
      </c>
      <c r="I37" s="1" t="s">
        <v>166</v>
      </c>
      <c r="J37" s="1" t="s">
        <v>153</v>
      </c>
      <c r="K37" s="3">
        <v>1</v>
      </c>
      <c r="L37" s="2" t="s">
        <v>168</v>
      </c>
      <c r="M37" s="1" t="s">
        <v>8</v>
      </c>
      <c r="N37" s="2" t="s">
        <v>172</v>
      </c>
      <c r="O37" s="1" t="s">
        <v>177</v>
      </c>
      <c r="P37" s="2" t="s">
        <v>178</v>
      </c>
      <c r="Q37" s="1" t="s">
        <v>180</v>
      </c>
      <c r="R37" s="1" t="s">
        <v>181</v>
      </c>
      <c r="S37" s="2" t="s">
        <v>182</v>
      </c>
      <c r="T37" s="2" t="s">
        <v>183</v>
      </c>
      <c r="U37" s="2" t="s">
        <v>183</v>
      </c>
      <c r="V37" s="2" t="s">
        <v>183</v>
      </c>
      <c r="W37" s="2" t="s">
        <v>182</v>
      </c>
      <c r="X37" s="2" t="s">
        <v>182</v>
      </c>
      <c r="Y37" s="1" t="s">
        <v>182</v>
      </c>
      <c r="Z37" s="1" t="s">
        <v>182</v>
      </c>
      <c r="AA37" s="1" t="s">
        <v>184</v>
      </c>
      <c r="AB37" s="1" t="s">
        <v>183</v>
      </c>
      <c r="AC37" s="1" t="s">
        <v>182</v>
      </c>
      <c r="AD37" s="1" t="s">
        <v>153</v>
      </c>
      <c r="AE37" s="1" t="s">
        <v>154</v>
      </c>
      <c r="AF37" s="2" t="s">
        <v>191</v>
      </c>
      <c r="AG37" s="3" t="s">
        <v>185</v>
      </c>
      <c r="AH37" s="2" t="s">
        <v>182</v>
      </c>
      <c r="AI37" s="1" t="s">
        <v>182</v>
      </c>
      <c r="AJ37" s="1" t="s">
        <v>154</v>
      </c>
      <c r="AK37" s="1" t="s">
        <v>186</v>
      </c>
      <c r="AL37" s="1" t="s">
        <v>154</v>
      </c>
      <c r="AM37" s="1" t="s">
        <v>187</v>
      </c>
      <c r="AN37" s="1" t="s">
        <v>188</v>
      </c>
      <c r="AO37" s="1" t="s">
        <v>189</v>
      </c>
    </row>
    <row r="38" spans="1:41" x14ac:dyDescent="0.3">
      <c r="A38" s="5">
        <v>46023</v>
      </c>
      <c r="B38" s="1" t="s">
        <v>57</v>
      </c>
      <c r="C38" s="1" t="s">
        <v>154</v>
      </c>
      <c r="D38" s="3">
        <f t="shared" ca="1" si="0"/>
        <v>29</v>
      </c>
      <c r="E38" s="1" t="s">
        <v>137</v>
      </c>
      <c r="F38" s="1" t="s">
        <v>3</v>
      </c>
      <c r="G38" s="1" t="s">
        <v>4</v>
      </c>
      <c r="H38" s="2" t="s">
        <v>150</v>
      </c>
      <c r="I38" s="1" t="s">
        <v>166</v>
      </c>
      <c r="J38" s="1" t="s">
        <v>153</v>
      </c>
      <c r="K38" s="3">
        <v>1</v>
      </c>
      <c r="L38" s="2" t="s">
        <v>169</v>
      </c>
      <c r="M38" s="1" t="s">
        <v>8</v>
      </c>
      <c r="N38" s="2" t="s">
        <v>172</v>
      </c>
      <c r="O38" s="1" t="s">
        <v>177</v>
      </c>
      <c r="P38" s="2" t="s">
        <v>178</v>
      </c>
      <c r="Q38" s="1" t="s">
        <v>180</v>
      </c>
      <c r="R38" s="1" t="s">
        <v>181</v>
      </c>
      <c r="S38" s="2" t="s">
        <v>182</v>
      </c>
      <c r="T38" s="2" t="s">
        <v>183</v>
      </c>
      <c r="U38" s="2" t="s">
        <v>183</v>
      </c>
      <c r="V38" s="2" t="s">
        <v>183</v>
      </c>
      <c r="W38" s="2" t="s">
        <v>183</v>
      </c>
      <c r="X38" s="2" t="s">
        <v>182</v>
      </c>
      <c r="Y38" s="1" t="s">
        <v>182</v>
      </c>
      <c r="Z38" s="1" t="s">
        <v>182</v>
      </c>
      <c r="AA38" s="1" t="s">
        <v>184</v>
      </c>
      <c r="AB38" s="1" t="s">
        <v>183</v>
      </c>
      <c r="AC38" s="1" t="s">
        <v>182</v>
      </c>
      <c r="AD38" s="1" t="s">
        <v>153</v>
      </c>
      <c r="AE38" s="1" t="s">
        <v>154</v>
      </c>
      <c r="AF38" s="2" t="s">
        <v>181</v>
      </c>
      <c r="AG38" s="3" t="s">
        <v>185</v>
      </c>
      <c r="AH38" s="2" t="s">
        <v>182</v>
      </c>
      <c r="AI38" s="1" t="s">
        <v>182</v>
      </c>
      <c r="AJ38" s="1" t="s">
        <v>154</v>
      </c>
      <c r="AK38" s="1" t="s">
        <v>186</v>
      </c>
      <c r="AL38" s="1" t="s">
        <v>154</v>
      </c>
      <c r="AM38" s="1" t="s">
        <v>192</v>
      </c>
      <c r="AN38" s="1" t="s">
        <v>193</v>
      </c>
      <c r="AO38" s="1" t="s">
        <v>194</v>
      </c>
    </row>
    <row r="39" spans="1:41" x14ac:dyDescent="0.3">
      <c r="A39" s="5">
        <v>46025</v>
      </c>
      <c r="B39" s="1" t="s">
        <v>58</v>
      </c>
      <c r="C39" s="1" t="s">
        <v>154</v>
      </c>
      <c r="D39" s="3">
        <f t="shared" ca="1" si="0"/>
        <v>34</v>
      </c>
      <c r="E39" s="1" t="s">
        <v>137</v>
      </c>
      <c r="F39" s="1" t="s">
        <v>3</v>
      </c>
      <c r="G39" s="1" t="s">
        <v>4</v>
      </c>
      <c r="H39" s="2" t="s">
        <v>150</v>
      </c>
      <c r="I39" s="1" t="s">
        <v>166</v>
      </c>
      <c r="J39" s="1" t="s">
        <v>153</v>
      </c>
      <c r="K39" s="3">
        <v>1</v>
      </c>
      <c r="L39" s="2" t="s">
        <v>169</v>
      </c>
      <c r="M39" s="1" t="s">
        <v>8</v>
      </c>
      <c r="N39" s="2" t="s">
        <v>172</v>
      </c>
      <c r="O39" s="1" t="s">
        <v>177</v>
      </c>
      <c r="P39" s="2" t="s">
        <v>178</v>
      </c>
      <c r="Q39" s="1" t="s">
        <v>180</v>
      </c>
      <c r="R39" s="1" t="s">
        <v>181</v>
      </c>
      <c r="S39" s="2" t="s">
        <v>182</v>
      </c>
      <c r="T39" s="2" t="s">
        <v>182</v>
      </c>
      <c r="U39" s="2" t="s">
        <v>183</v>
      </c>
      <c r="V39" s="2" t="s">
        <v>183</v>
      </c>
      <c r="W39" s="2" t="s">
        <v>183</v>
      </c>
      <c r="X39" s="2" t="s">
        <v>182</v>
      </c>
      <c r="Y39" s="1" t="s">
        <v>183</v>
      </c>
      <c r="Z39" s="1" t="s">
        <v>182</v>
      </c>
      <c r="AA39" s="1" t="s">
        <v>183</v>
      </c>
      <c r="AB39" s="1" t="s">
        <v>182</v>
      </c>
      <c r="AC39" s="1" t="s">
        <v>184</v>
      </c>
      <c r="AD39" s="1" t="s">
        <v>153</v>
      </c>
      <c r="AE39" s="1" t="s">
        <v>154</v>
      </c>
      <c r="AF39" s="2" t="s">
        <v>191</v>
      </c>
      <c r="AG39" s="3" t="s">
        <v>185</v>
      </c>
      <c r="AH39" s="2" t="s">
        <v>182</v>
      </c>
      <c r="AI39" s="1" t="s">
        <v>184</v>
      </c>
      <c r="AJ39" s="1" t="s">
        <v>154</v>
      </c>
      <c r="AK39" s="1" t="s">
        <v>195</v>
      </c>
      <c r="AL39" s="1" t="s">
        <v>154</v>
      </c>
      <c r="AM39" s="1" t="s">
        <v>192</v>
      </c>
      <c r="AN39" s="1" t="s">
        <v>188</v>
      </c>
      <c r="AO39" s="1" t="s">
        <v>196</v>
      </c>
    </row>
    <row r="40" spans="1:41" x14ac:dyDescent="0.3">
      <c r="A40" s="5">
        <v>46030</v>
      </c>
      <c r="B40" s="1" t="s">
        <v>59</v>
      </c>
      <c r="C40" s="1" t="s">
        <v>154</v>
      </c>
      <c r="D40" s="3">
        <f t="shared" ca="1" si="0"/>
        <v>45</v>
      </c>
      <c r="E40" s="1" t="s">
        <v>137</v>
      </c>
      <c r="F40" s="1" t="s">
        <v>3</v>
      </c>
      <c r="G40" s="1" t="s">
        <v>4</v>
      </c>
      <c r="H40" s="2" t="s">
        <v>150</v>
      </c>
      <c r="I40" s="1" t="s">
        <v>166</v>
      </c>
      <c r="J40" s="1" t="s">
        <v>153</v>
      </c>
      <c r="K40" s="3">
        <v>1</v>
      </c>
      <c r="L40" s="2" t="s">
        <v>169</v>
      </c>
      <c r="M40" s="1" t="s">
        <v>8</v>
      </c>
      <c r="N40" s="2" t="s">
        <v>172</v>
      </c>
      <c r="O40" s="1" t="s">
        <v>177</v>
      </c>
      <c r="P40" s="2" t="s">
        <v>178</v>
      </c>
      <c r="Q40" s="1" t="s">
        <v>180</v>
      </c>
      <c r="R40" s="1" t="s">
        <v>181</v>
      </c>
      <c r="S40" s="2" t="s">
        <v>182</v>
      </c>
      <c r="T40" s="2" t="s">
        <v>182</v>
      </c>
      <c r="U40" s="2" t="s">
        <v>183</v>
      </c>
      <c r="V40" s="2" t="s">
        <v>183</v>
      </c>
      <c r="W40" s="2" t="s">
        <v>183</v>
      </c>
      <c r="X40" s="2" t="s">
        <v>182</v>
      </c>
      <c r="Y40" s="1" t="s">
        <v>183</v>
      </c>
      <c r="Z40" s="1" t="s">
        <v>182</v>
      </c>
      <c r="AA40" s="1" t="s">
        <v>183</v>
      </c>
      <c r="AB40" s="1" t="s">
        <v>182</v>
      </c>
      <c r="AC40" s="1" t="s">
        <v>184</v>
      </c>
      <c r="AD40" s="1" t="s">
        <v>153</v>
      </c>
      <c r="AE40" s="1" t="s">
        <v>154</v>
      </c>
      <c r="AF40" s="2" t="s">
        <v>181</v>
      </c>
      <c r="AG40" s="3" t="s">
        <v>185</v>
      </c>
      <c r="AH40" s="2" t="s">
        <v>182</v>
      </c>
      <c r="AI40" s="1" t="s">
        <v>182</v>
      </c>
      <c r="AJ40" s="1" t="s">
        <v>154</v>
      </c>
      <c r="AK40" s="1" t="s">
        <v>195</v>
      </c>
      <c r="AL40" s="1" t="s">
        <v>154</v>
      </c>
      <c r="AM40" s="1" t="s">
        <v>192</v>
      </c>
      <c r="AN40" s="1" t="s">
        <v>188</v>
      </c>
      <c r="AO40" s="1" t="s">
        <v>196</v>
      </c>
    </row>
    <row r="41" spans="1:41" x14ac:dyDescent="0.3">
      <c r="A41" s="5">
        <v>46024</v>
      </c>
      <c r="B41" s="1" t="s">
        <v>60</v>
      </c>
      <c r="C41" s="1" t="s">
        <v>154</v>
      </c>
      <c r="D41" s="3">
        <f t="shared" ca="1" si="0"/>
        <v>21</v>
      </c>
      <c r="E41" s="1" t="s">
        <v>137</v>
      </c>
      <c r="F41" s="1" t="s">
        <v>3</v>
      </c>
      <c r="G41" s="1" t="s">
        <v>4</v>
      </c>
      <c r="H41" s="2" t="s">
        <v>150</v>
      </c>
      <c r="I41" s="1" t="s">
        <v>166</v>
      </c>
      <c r="J41" s="1" t="s">
        <v>153</v>
      </c>
      <c r="K41" s="3">
        <v>1</v>
      </c>
      <c r="L41" s="2" t="s">
        <v>169</v>
      </c>
      <c r="M41" s="1" t="s">
        <v>8</v>
      </c>
      <c r="N41" s="2" t="s">
        <v>172</v>
      </c>
      <c r="O41" s="1" t="s">
        <v>177</v>
      </c>
      <c r="P41" s="2" t="s">
        <v>178</v>
      </c>
      <c r="Q41" s="1" t="s">
        <v>180</v>
      </c>
      <c r="R41" s="1" t="s">
        <v>181</v>
      </c>
      <c r="S41" s="2" t="s">
        <v>182</v>
      </c>
      <c r="T41" s="2" t="s">
        <v>182</v>
      </c>
      <c r="U41" s="2" t="s">
        <v>183</v>
      </c>
      <c r="V41" s="2" t="s">
        <v>183</v>
      </c>
      <c r="W41" s="2" t="s">
        <v>183</v>
      </c>
      <c r="X41" s="2" t="s">
        <v>182</v>
      </c>
      <c r="Y41" s="1" t="s">
        <v>183</v>
      </c>
      <c r="Z41" s="1" t="s">
        <v>182</v>
      </c>
      <c r="AA41" s="1" t="s">
        <v>183</v>
      </c>
      <c r="AB41" s="1" t="s">
        <v>182</v>
      </c>
      <c r="AC41" s="1" t="s">
        <v>184</v>
      </c>
      <c r="AD41" s="1" t="s">
        <v>153</v>
      </c>
      <c r="AE41" s="1" t="s">
        <v>154</v>
      </c>
      <c r="AF41" s="2" t="s">
        <v>191</v>
      </c>
      <c r="AG41" s="3" t="s">
        <v>185</v>
      </c>
      <c r="AH41" s="2" t="s">
        <v>182</v>
      </c>
      <c r="AI41" s="1" t="s">
        <v>184</v>
      </c>
      <c r="AJ41" s="1" t="s">
        <v>154</v>
      </c>
      <c r="AK41" s="1" t="s">
        <v>195</v>
      </c>
      <c r="AL41" s="1" t="s">
        <v>154</v>
      </c>
      <c r="AM41" s="1" t="s">
        <v>192</v>
      </c>
      <c r="AN41" s="1" t="s">
        <v>188</v>
      </c>
      <c r="AO41" s="1" t="s">
        <v>196</v>
      </c>
    </row>
    <row r="42" spans="1:41" x14ac:dyDescent="0.3">
      <c r="A42" s="5">
        <v>46228</v>
      </c>
      <c r="B42" s="1" t="s">
        <v>61</v>
      </c>
      <c r="C42" s="1" t="s">
        <v>154</v>
      </c>
      <c r="D42" s="3">
        <f t="shared" ca="1" si="0"/>
        <v>31</v>
      </c>
      <c r="E42" s="1" t="s">
        <v>137</v>
      </c>
      <c r="F42" s="1" t="s">
        <v>3</v>
      </c>
      <c r="G42" s="1" t="s">
        <v>4</v>
      </c>
      <c r="H42" s="2" t="s">
        <v>150</v>
      </c>
      <c r="I42" s="1" t="s">
        <v>166</v>
      </c>
      <c r="J42" s="1" t="s">
        <v>153</v>
      </c>
      <c r="K42" s="3">
        <v>2</v>
      </c>
      <c r="L42" s="2" t="s">
        <v>169</v>
      </c>
      <c r="M42" s="1" t="s">
        <v>8</v>
      </c>
      <c r="N42" s="2" t="s">
        <v>172</v>
      </c>
      <c r="O42" s="1" t="s">
        <v>177</v>
      </c>
      <c r="P42" s="2" t="s">
        <v>178</v>
      </c>
      <c r="Q42" s="1" t="s">
        <v>180</v>
      </c>
      <c r="R42" s="1" t="s">
        <v>181</v>
      </c>
      <c r="S42" s="2" t="s">
        <v>182</v>
      </c>
      <c r="T42" s="2" t="s">
        <v>182</v>
      </c>
      <c r="U42" s="2" t="s">
        <v>184</v>
      </c>
      <c r="V42" s="2" t="s">
        <v>183</v>
      </c>
      <c r="W42" s="2" t="s">
        <v>183</v>
      </c>
      <c r="X42" s="2" t="s">
        <v>182</v>
      </c>
      <c r="Y42" s="1" t="s">
        <v>183</v>
      </c>
      <c r="Z42" s="1" t="s">
        <v>182</v>
      </c>
      <c r="AA42" s="1" t="s">
        <v>183</v>
      </c>
      <c r="AB42" s="1" t="s">
        <v>182</v>
      </c>
      <c r="AC42" s="1" t="s">
        <v>184</v>
      </c>
      <c r="AD42" s="1" t="s">
        <v>153</v>
      </c>
      <c r="AE42" s="1" t="s">
        <v>154</v>
      </c>
      <c r="AF42" s="2" t="s">
        <v>181</v>
      </c>
      <c r="AG42" s="3" t="s">
        <v>185</v>
      </c>
      <c r="AH42" s="2" t="s">
        <v>182</v>
      </c>
      <c r="AI42" s="1" t="s">
        <v>182</v>
      </c>
      <c r="AJ42" s="1" t="s">
        <v>154</v>
      </c>
      <c r="AK42" s="1" t="s">
        <v>186</v>
      </c>
      <c r="AL42" s="1" t="s">
        <v>154</v>
      </c>
      <c r="AM42" s="1" t="s">
        <v>187</v>
      </c>
      <c r="AN42" s="1" t="s">
        <v>188</v>
      </c>
      <c r="AO42" s="1" t="s">
        <v>189</v>
      </c>
    </row>
    <row r="43" spans="1:41" x14ac:dyDescent="0.3">
      <c r="A43" s="5">
        <v>46023</v>
      </c>
      <c r="B43" s="1" t="s">
        <v>62</v>
      </c>
      <c r="C43" s="1" t="s">
        <v>154</v>
      </c>
      <c r="D43" s="3">
        <f t="shared" ca="1" si="0"/>
        <v>50</v>
      </c>
      <c r="E43" s="1" t="s">
        <v>138</v>
      </c>
      <c r="F43" s="1" t="s">
        <v>3</v>
      </c>
      <c r="G43" s="1" t="s">
        <v>4</v>
      </c>
      <c r="H43" s="2" t="s">
        <v>150</v>
      </c>
      <c r="I43" s="1" t="s">
        <v>166</v>
      </c>
      <c r="J43" s="1" t="s">
        <v>153</v>
      </c>
      <c r="K43" s="3">
        <v>2</v>
      </c>
      <c r="L43" s="2" t="s">
        <v>169</v>
      </c>
      <c r="M43" s="1" t="s">
        <v>8</v>
      </c>
      <c r="N43" s="2" t="s">
        <v>172</v>
      </c>
      <c r="O43" s="1" t="s">
        <v>177</v>
      </c>
      <c r="P43" s="2" t="s">
        <v>178</v>
      </c>
      <c r="Q43" s="1" t="s">
        <v>180</v>
      </c>
      <c r="R43" s="1" t="s">
        <v>181</v>
      </c>
      <c r="S43" s="2" t="s">
        <v>182</v>
      </c>
      <c r="T43" s="2" t="s">
        <v>182</v>
      </c>
      <c r="U43" s="2" t="s">
        <v>184</v>
      </c>
      <c r="V43" s="2" t="s">
        <v>183</v>
      </c>
      <c r="W43" s="2" t="s">
        <v>183</v>
      </c>
      <c r="X43" s="2" t="s">
        <v>182</v>
      </c>
      <c r="Y43" s="1" t="s">
        <v>183</v>
      </c>
      <c r="Z43" s="1" t="s">
        <v>182</v>
      </c>
      <c r="AA43" s="1" t="s">
        <v>183</v>
      </c>
      <c r="AB43" s="1" t="s">
        <v>182</v>
      </c>
      <c r="AC43" s="1" t="s">
        <v>184</v>
      </c>
      <c r="AD43" s="1" t="s">
        <v>153</v>
      </c>
      <c r="AE43" s="1" t="s">
        <v>154</v>
      </c>
      <c r="AF43" s="2" t="s">
        <v>191</v>
      </c>
      <c r="AG43" s="3" t="s">
        <v>185</v>
      </c>
      <c r="AH43" s="2" t="s">
        <v>182</v>
      </c>
      <c r="AI43" s="1" t="s">
        <v>182</v>
      </c>
      <c r="AJ43" s="1" t="s">
        <v>154</v>
      </c>
      <c r="AK43" s="1" t="s">
        <v>186</v>
      </c>
      <c r="AL43" s="1" t="s">
        <v>154</v>
      </c>
      <c r="AM43" s="1" t="s">
        <v>192</v>
      </c>
      <c r="AN43" s="1" t="s">
        <v>193</v>
      </c>
      <c r="AO43" s="1" t="s">
        <v>194</v>
      </c>
    </row>
    <row r="44" spans="1:41" x14ac:dyDescent="0.3">
      <c r="A44" s="5">
        <v>46025</v>
      </c>
      <c r="B44" s="1" t="s">
        <v>63</v>
      </c>
      <c r="C44" s="1" t="s">
        <v>154</v>
      </c>
      <c r="D44" s="3">
        <f t="shared" ca="1" si="0"/>
        <v>42</v>
      </c>
      <c r="E44" s="1" t="s">
        <v>138</v>
      </c>
      <c r="F44" s="1" t="s">
        <v>3</v>
      </c>
      <c r="G44" s="1" t="s">
        <v>4</v>
      </c>
      <c r="H44" s="2" t="s">
        <v>150</v>
      </c>
      <c r="I44" s="1" t="s">
        <v>166</v>
      </c>
      <c r="J44" s="1" t="s">
        <v>153</v>
      </c>
      <c r="K44" s="3">
        <v>2</v>
      </c>
      <c r="L44" s="2" t="s">
        <v>169</v>
      </c>
      <c r="M44" s="1" t="s">
        <v>8</v>
      </c>
      <c r="N44" s="2" t="s">
        <v>172</v>
      </c>
      <c r="O44" s="1" t="s">
        <v>177</v>
      </c>
      <c r="P44" s="2" t="s">
        <v>178</v>
      </c>
      <c r="Q44" s="1" t="s">
        <v>180</v>
      </c>
      <c r="R44" s="1" t="s">
        <v>181</v>
      </c>
      <c r="S44" s="2" t="s">
        <v>182</v>
      </c>
      <c r="T44" s="2" t="s">
        <v>182</v>
      </c>
      <c r="U44" s="2" t="s">
        <v>184</v>
      </c>
      <c r="V44" s="2" t="s">
        <v>182</v>
      </c>
      <c r="W44" s="2" t="s">
        <v>183</v>
      </c>
      <c r="X44" s="2" t="s">
        <v>182</v>
      </c>
      <c r="Y44" s="1" t="s">
        <v>183</v>
      </c>
      <c r="Z44" s="1" t="s">
        <v>182</v>
      </c>
      <c r="AA44" s="1" t="s">
        <v>183</v>
      </c>
      <c r="AB44" s="1" t="s">
        <v>182</v>
      </c>
      <c r="AC44" s="1" t="s">
        <v>184</v>
      </c>
      <c r="AD44" s="1" t="s">
        <v>153</v>
      </c>
      <c r="AE44" s="1" t="s">
        <v>154</v>
      </c>
      <c r="AF44" s="2" t="s">
        <v>181</v>
      </c>
      <c r="AG44" s="3" t="s">
        <v>185</v>
      </c>
      <c r="AH44" s="2" t="s">
        <v>182</v>
      </c>
      <c r="AI44" s="1" t="s">
        <v>184</v>
      </c>
      <c r="AJ44" s="1" t="s">
        <v>154</v>
      </c>
      <c r="AK44" s="1" t="s">
        <v>195</v>
      </c>
      <c r="AL44" s="1" t="s">
        <v>154</v>
      </c>
      <c r="AM44" s="1" t="s">
        <v>192</v>
      </c>
      <c r="AN44" s="1" t="s">
        <v>188</v>
      </c>
      <c r="AO44" s="1" t="s">
        <v>196</v>
      </c>
    </row>
    <row r="45" spans="1:41" x14ac:dyDescent="0.3">
      <c r="A45" s="5">
        <v>46030</v>
      </c>
      <c r="B45" s="1" t="s">
        <v>64</v>
      </c>
      <c r="C45" s="1" t="s">
        <v>154</v>
      </c>
      <c r="D45" s="3">
        <f t="shared" ca="1" si="0"/>
        <v>33</v>
      </c>
      <c r="E45" s="1" t="s">
        <v>138</v>
      </c>
      <c r="F45" s="1" t="s">
        <v>3</v>
      </c>
      <c r="G45" s="1" t="s">
        <v>4</v>
      </c>
      <c r="H45" s="2" t="s">
        <v>150</v>
      </c>
      <c r="I45" s="1" t="s">
        <v>166</v>
      </c>
      <c r="J45" s="1" t="s">
        <v>153</v>
      </c>
      <c r="K45" s="3">
        <v>2</v>
      </c>
      <c r="L45" s="2" t="s">
        <v>169</v>
      </c>
      <c r="M45" s="1" t="s">
        <v>8</v>
      </c>
      <c r="N45" s="2" t="s">
        <v>174</v>
      </c>
      <c r="O45" s="2" t="s">
        <v>175</v>
      </c>
      <c r="P45" s="2" t="s">
        <v>179</v>
      </c>
      <c r="Q45" s="1" t="s">
        <v>180</v>
      </c>
      <c r="R45" s="1" t="s">
        <v>181</v>
      </c>
      <c r="S45" s="2" t="s">
        <v>183</v>
      </c>
      <c r="T45" s="2" t="s">
        <v>182</v>
      </c>
      <c r="U45" s="2" t="s">
        <v>184</v>
      </c>
      <c r="V45" s="2" t="s">
        <v>182</v>
      </c>
      <c r="W45" s="2" t="s">
        <v>183</v>
      </c>
      <c r="X45" s="2" t="s">
        <v>182</v>
      </c>
      <c r="Y45" s="1" t="s">
        <v>183</v>
      </c>
      <c r="Z45" s="1" t="s">
        <v>182</v>
      </c>
      <c r="AA45" s="1" t="s">
        <v>183</v>
      </c>
      <c r="AB45" s="1" t="s">
        <v>182</v>
      </c>
      <c r="AC45" s="1" t="s">
        <v>184</v>
      </c>
      <c r="AD45" s="1" t="s">
        <v>153</v>
      </c>
      <c r="AE45" s="1" t="s">
        <v>154</v>
      </c>
      <c r="AF45" s="2" t="s">
        <v>191</v>
      </c>
      <c r="AG45" s="3" t="s">
        <v>185</v>
      </c>
      <c r="AH45" s="2" t="s">
        <v>182</v>
      </c>
      <c r="AI45" s="1" t="s">
        <v>182</v>
      </c>
      <c r="AJ45" s="1" t="s">
        <v>154</v>
      </c>
      <c r="AK45" s="1" t="s">
        <v>195</v>
      </c>
      <c r="AL45" s="1" t="s">
        <v>154</v>
      </c>
      <c r="AM45" s="1" t="s">
        <v>192</v>
      </c>
      <c r="AN45" s="1" t="s">
        <v>188</v>
      </c>
      <c r="AO45" s="1" t="s">
        <v>196</v>
      </c>
    </row>
    <row r="46" spans="1:41" x14ac:dyDescent="0.3">
      <c r="A46" s="5">
        <v>46024</v>
      </c>
      <c r="B46" s="1" t="s">
        <v>65</v>
      </c>
      <c r="C46" s="1" t="s">
        <v>154</v>
      </c>
      <c r="D46" s="3">
        <f t="shared" ca="1" si="0"/>
        <v>42</v>
      </c>
      <c r="E46" s="1" t="s">
        <v>138</v>
      </c>
      <c r="F46" s="1" t="s">
        <v>3</v>
      </c>
      <c r="G46" s="1" t="s">
        <v>4</v>
      </c>
      <c r="H46" s="2" t="s">
        <v>151</v>
      </c>
      <c r="I46" s="1" t="s">
        <v>166</v>
      </c>
      <c r="J46" s="1" t="s">
        <v>153</v>
      </c>
      <c r="K46" s="3">
        <v>2</v>
      </c>
      <c r="L46" s="2" t="s">
        <v>169</v>
      </c>
      <c r="M46" s="1" t="s">
        <v>8</v>
      </c>
      <c r="N46" s="2" t="s">
        <v>174</v>
      </c>
      <c r="O46" s="2" t="s">
        <v>175</v>
      </c>
      <c r="P46" s="2" t="s">
        <v>179</v>
      </c>
      <c r="Q46" s="1" t="s">
        <v>180</v>
      </c>
      <c r="R46" s="1" t="s">
        <v>181</v>
      </c>
      <c r="S46" s="2" t="s">
        <v>183</v>
      </c>
      <c r="T46" s="2" t="s">
        <v>182</v>
      </c>
      <c r="U46" s="2" t="s">
        <v>184</v>
      </c>
      <c r="V46" s="2" t="s">
        <v>182</v>
      </c>
      <c r="W46" s="2" t="s">
        <v>183</v>
      </c>
      <c r="X46" s="2" t="s">
        <v>182</v>
      </c>
      <c r="Y46" s="1" t="s">
        <v>183</v>
      </c>
      <c r="Z46" s="1" t="s">
        <v>182</v>
      </c>
      <c r="AA46" s="1" t="s">
        <v>183</v>
      </c>
      <c r="AB46" s="1" t="s">
        <v>182</v>
      </c>
      <c r="AC46" s="1" t="s">
        <v>184</v>
      </c>
      <c r="AD46" s="1" t="s">
        <v>153</v>
      </c>
      <c r="AE46" s="1" t="s">
        <v>154</v>
      </c>
      <c r="AF46" s="2" t="s">
        <v>181</v>
      </c>
      <c r="AG46" s="3" t="s">
        <v>185</v>
      </c>
      <c r="AH46" s="2" t="s">
        <v>182</v>
      </c>
      <c r="AI46" s="1" t="s">
        <v>184</v>
      </c>
      <c r="AJ46" s="1" t="s">
        <v>154</v>
      </c>
      <c r="AK46" s="1" t="s">
        <v>195</v>
      </c>
      <c r="AL46" s="1" t="s">
        <v>154</v>
      </c>
      <c r="AM46" s="1" t="s">
        <v>192</v>
      </c>
      <c r="AN46" s="1" t="s">
        <v>188</v>
      </c>
      <c r="AO46" s="1" t="s">
        <v>196</v>
      </c>
    </row>
    <row r="47" spans="1:41" x14ac:dyDescent="0.3">
      <c r="A47" s="5">
        <v>46228</v>
      </c>
      <c r="B47" s="1" t="s">
        <v>66</v>
      </c>
      <c r="C47" s="1" t="s">
        <v>154</v>
      </c>
      <c r="D47" s="3">
        <f t="shared" ca="1" si="0"/>
        <v>28</v>
      </c>
      <c r="E47" s="1" t="s">
        <v>138</v>
      </c>
      <c r="F47" s="1" t="s">
        <v>3</v>
      </c>
      <c r="G47" s="1" t="s">
        <v>4</v>
      </c>
      <c r="H47" s="2" t="s">
        <v>151</v>
      </c>
      <c r="I47" s="1" t="s">
        <v>166</v>
      </c>
      <c r="J47" s="1" t="s">
        <v>153</v>
      </c>
      <c r="K47" s="3">
        <v>2</v>
      </c>
      <c r="L47" s="2" t="s">
        <v>170</v>
      </c>
      <c r="M47" s="1" t="s">
        <v>8</v>
      </c>
      <c r="N47" s="2" t="s">
        <v>174</v>
      </c>
      <c r="O47" s="2" t="s">
        <v>175</v>
      </c>
      <c r="P47" s="2" t="s">
        <v>179</v>
      </c>
      <c r="Q47" s="1" t="s">
        <v>180</v>
      </c>
      <c r="R47" s="1" t="s">
        <v>181</v>
      </c>
      <c r="S47" s="2" t="s">
        <v>183</v>
      </c>
      <c r="T47" s="2" t="s">
        <v>182</v>
      </c>
      <c r="U47" s="2" t="s">
        <v>184</v>
      </c>
      <c r="V47" s="2" t="s">
        <v>182</v>
      </c>
      <c r="W47" s="2" t="s">
        <v>183</v>
      </c>
      <c r="X47" s="2" t="s">
        <v>183</v>
      </c>
      <c r="Y47" s="1" t="s">
        <v>183</v>
      </c>
      <c r="Z47" s="1" t="s">
        <v>182</v>
      </c>
      <c r="AA47" s="1" t="s">
        <v>183</v>
      </c>
      <c r="AB47" s="1" t="s">
        <v>182</v>
      </c>
      <c r="AC47" s="1" t="s">
        <v>184</v>
      </c>
      <c r="AD47" s="1" t="s">
        <v>153</v>
      </c>
      <c r="AE47" s="1" t="s">
        <v>154</v>
      </c>
      <c r="AF47" s="2" t="s">
        <v>191</v>
      </c>
      <c r="AG47" s="3" t="s">
        <v>185</v>
      </c>
      <c r="AH47" s="2" t="s">
        <v>182</v>
      </c>
      <c r="AI47" s="1" t="s">
        <v>182</v>
      </c>
      <c r="AJ47" s="1" t="s">
        <v>154</v>
      </c>
      <c r="AK47" s="1" t="s">
        <v>186</v>
      </c>
      <c r="AL47" s="1" t="s">
        <v>154</v>
      </c>
      <c r="AM47" s="1" t="s">
        <v>187</v>
      </c>
      <c r="AN47" s="1" t="s">
        <v>188</v>
      </c>
      <c r="AO47" s="1" t="s">
        <v>189</v>
      </c>
    </row>
    <row r="48" spans="1:41" x14ac:dyDescent="0.3">
      <c r="A48" s="5">
        <v>46023</v>
      </c>
      <c r="B48" s="1" t="s">
        <v>67</v>
      </c>
      <c r="C48" s="1" t="s">
        <v>154</v>
      </c>
      <c r="D48" s="3">
        <f t="shared" ca="1" si="0"/>
        <v>45</v>
      </c>
      <c r="E48" s="1" t="s">
        <v>138</v>
      </c>
      <c r="F48" s="1" t="s">
        <v>3</v>
      </c>
      <c r="G48" s="1" t="s">
        <v>4</v>
      </c>
      <c r="H48" s="2" t="s">
        <v>151</v>
      </c>
      <c r="I48" s="2" t="s">
        <v>167</v>
      </c>
      <c r="J48" s="1" t="s">
        <v>153</v>
      </c>
      <c r="K48" s="3">
        <v>2</v>
      </c>
      <c r="L48" s="2" t="s">
        <v>170</v>
      </c>
      <c r="M48" s="1" t="s">
        <v>8</v>
      </c>
      <c r="N48" s="2" t="s">
        <v>174</v>
      </c>
      <c r="O48" s="2" t="s">
        <v>175</v>
      </c>
      <c r="P48" s="2" t="s">
        <v>179</v>
      </c>
      <c r="Q48" s="1" t="s">
        <v>180</v>
      </c>
      <c r="R48" s="1" t="s">
        <v>181</v>
      </c>
      <c r="S48" s="2" t="s">
        <v>183</v>
      </c>
      <c r="T48" s="2" t="s">
        <v>183</v>
      </c>
      <c r="U48" s="2" t="s">
        <v>184</v>
      </c>
      <c r="V48" s="2" t="s">
        <v>182</v>
      </c>
      <c r="W48" s="2" t="s">
        <v>183</v>
      </c>
      <c r="X48" s="2" t="s">
        <v>183</v>
      </c>
      <c r="Y48" s="1" t="s">
        <v>183</v>
      </c>
      <c r="Z48" s="1" t="s">
        <v>182</v>
      </c>
      <c r="AA48" s="1" t="s">
        <v>183</v>
      </c>
      <c r="AB48" s="1" t="s">
        <v>182</v>
      </c>
      <c r="AC48" s="1" t="s">
        <v>184</v>
      </c>
      <c r="AD48" s="1" t="s">
        <v>153</v>
      </c>
      <c r="AE48" s="1" t="s">
        <v>154</v>
      </c>
      <c r="AF48" s="2" t="s">
        <v>181</v>
      </c>
      <c r="AG48" s="3" t="s">
        <v>185</v>
      </c>
      <c r="AH48" s="2" t="s">
        <v>182</v>
      </c>
      <c r="AI48" s="1" t="s">
        <v>182</v>
      </c>
      <c r="AJ48" s="1" t="s">
        <v>154</v>
      </c>
      <c r="AK48" s="1" t="s">
        <v>186</v>
      </c>
      <c r="AL48" s="1" t="s">
        <v>154</v>
      </c>
      <c r="AM48" s="1" t="s">
        <v>192</v>
      </c>
      <c r="AN48" s="1" t="s">
        <v>193</v>
      </c>
      <c r="AO48" s="1" t="s">
        <v>194</v>
      </c>
    </row>
    <row r="49" spans="1:41" x14ac:dyDescent="0.3">
      <c r="A49" s="5">
        <v>46025</v>
      </c>
      <c r="B49" s="1" t="s">
        <v>68</v>
      </c>
      <c r="C49" s="1" t="s">
        <v>154</v>
      </c>
      <c r="D49" s="3">
        <f t="shared" ca="1" si="0"/>
        <v>43</v>
      </c>
      <c r="E49" s="1" t="s">
        <v>138</v>
      </c>
      <c r="F49" s="1" t="s">
        <v>3</v>
      </c>
      <c r="G49" s="1" t="s">
        <v>4</v>
      </c>
      <c r="H49" s="2" t="s">
        <v>151</v>
      </c>
      <c r="I49" s="2" t="s">
        <v>167</v>
      </c>
      <c r="J49" s="1" t="s">
        <v>153</v>
      </c>
      <c r="K49" s="3">
        <v>2</v>
      </c>
      <c r="L49" s="2" t="s">
        <v>170</v>
      </c>
      <c r="M49" s="1" t="s">
        <v>8</v>
      </c>
      <c r="N49" s="2" t="s">
        <v>174</v>
      </c>
      <c r="O49" s="2" t="s">
        <v>175</v>
      </c>
      <c r="P49" s="2" t="s">
        <v>179</v>
      </c>
      <c r="Q49" s="1" t="s">
        <v>180</v>
      </c>
      <c r="R49" s="1" t="s">
        <v>181</v>
      </c>
      <c r="S49" s="2" t="s">
        <v>183</v>
      </c>
      <c r="T49" s="2" t="s">
        <v>183</v>
      </c>
      <c r="U49" s="2" t="s">
        <v>184</v>
      </c>
      <c r="V49" s="2" t="s">
        <v>182</v>
      </c>
      <c r="W49" s="2" t="s">
        <v>183</v>
      </c>
      <c r="X49" s="2" t="s">
        <v>183</v>
      </c>
      <c r="Y49" s="1" t="s">
        <v>183</v>
      </c>
      <c r="Z49" s="1" t="s">
        <v>182</v>
      </c>
      <c r="AA49" s="1" t="s">
        <v>183</v>
      </c>
      <c r="AB49" s="1" t="s">
        <v>182</v>
      </c>
      <c r="AC49" s="1" t="s">
        <v>184</v>
      </c>
      <c r="AD49" s="1" t="s">
        <v>153</v>
      </c>
      <c r="AE49" s="1" t="s">
        <v>154</v>
      </c>
      <c r="AF49" s="2" t="s">
        <v>191</v>
      </c>
      <c r="AG49" s="3" t="s">
        <v>185</v>
      </c>
      <c r="AH49" s="2" t="s">
        <v>182</v>
      </c>
      <c r="AI49" s="1" t="s">
        <v>184</v>
      </c>
      <c r="AJ49" s="1" t="s">
        <v>154</v>
      </c>
      <c r="AK49" s="1" t="s">
        <v>195</v>
      </c>
      <c r="AL49" s="1" t="s">
        <v>154</v>
      </c>
      <c r="AM49" s="1" t="s">
        <v>192</v>
      </c>
      <c r="AN49" s="1" t="s">
        <v>188</v>
      </c>
      <c r="AO49" s="1" t="s">
        <v>196</v>
      </c>
    </row>
    <row r="50" spans="1:41" x14ac:dyDescent="0.3">
      <c r="A50" s="5">
        <v>46030</v>
      </c>
      <c r="B50" s="1" t="s">
        <v>69</v>
      </c>
      <c r="C50" s="1" t="s">
        <v>154</v>
      </c>
      <c r="D50" s="3">
        <f t="shared" ca="1" si="0"/>
        <v>33</v>
      </c>
      <c r="E50" s="1" t="s">
        <v>138</v>
      </c>
      <c r="F50" s="1" t="s">
        <v>3</v>
      </c>
      <c r="G50" s="1" t="s">
        <v>4</v>
      </c>
      <c r="H50" s="2" t="s">
        <v>151</v>
      </c>
      <c r="I50" s="2" t="s">
        <v>167</v>
      </c>
      <c r="J50" s="1" t="s">
        <v>153</v>
      </c>
      <c r="K50" s="3">
        <v>2</v>
      </c>
      <c r="L50" s="2" t="s">
        <v>170</v>
      </c>
      <c r="M50" s="1" t="s">
        <v>8</v>
      </c>
      <c r="N50" s="2" t="s">
        <v>174</v>
      </c>
      <c r="O50" s="2" t="s">
        <v>175</v>
      </c>
      <c r="P50" s="2" t="s">
        <v>179</v>
      </c>
      <c r="Q50" s="1" t="s">
        <v>180</v>
      </c>
      <c r="R50" s="1" t="s">
        <v>181</v>
      </c>
      <c r="S50" s="2" t="s">
        <v>183</v>
      </c>
      <c r="T50" s="2" t="s">
        <v>183</v>
      </c>
      <c r="U50" s="2" t="s">
        <v>184</v>
      </c>
      <c r="V50" s="2" t="s">
        <v>182</v>
      </c>
      <c r="W50" s="2" t="s">
        <v>183</v>
      </c>
      <c r="X50" s="2" t="s">
        <v>183</v>
      </c>
      <c r="Y50" s="1" t="s">
        <v>183</v>
      </c>
      <c r="Z50" s="1" t="s">
        <v>182</v>
      </c>
      <c r="AA50" s="1" t="s">
        <v>183</v>
      </c>
      <c r="AB50" s="1" t="s">
        <v>182</v>
      </c>
      <c r="AC50" s="1" t="s">
        <v>184</v>
      </c>
      <c r="AD50" s="1" t="s">
        <v>153</v>
      </c>
      <c r="AE50" s="1" t="s">
        <v>154</v>
      </c>
      <c r="AF50" s="2" t="s">
        <v>181</v>
      </c>
      <c r="AG50" s="3" t="s">
        <v>185</v>
      </c>
      <c r="AH50" s="2" t="s">
        <v>182</v>
      </c>
      <c r="AI50" s="1" t="s">
        <v>182</v>
      </c>
      <c r="AJ50" s="1" t="s">
        <v>154</v>
      </c>
      <c r="AK50" s="1" t="s">
        <v>195</v>
      </c>
      <c r="AL50" s="1" t="s">
        <v>154</v>
      </c>
      <c r="AM50" s="1" t="s">
        <v>192</v>
      </c>
      <c r="AN50" s="1" t="s">
        <v>188</v>
      </c>
      <c r="AO50" s="1" t="s">
        <v>196</v>
      </c>
    </row>
    <row r="51" spans="1:41" x14ac:dyDescent="0.3">
      <c r="A51" s="5">
        <v>46024</v>
      </c>
      <c r="B51" s="1" t="s">
        <v>70</v>
      </c>
      <c r="C51" s="1" t="s">
        <v>154</v>
      </c>
      <c r="D51" s="3">
        <f t="shared" ca="1" si="0"/>
        <v>28</v>
      </c>
      <c r="E51" s="1" t="s">
        <v>137</v>
      </c>
      <c r="F51" s="1" t="s">
        <v>3</v>
      </c>
      <c r="G51" s="1" t="s">
        <v>4</v>
      </c>
      <c r="H51" s="2" t="s">
        <v>151</v>
      </c>
      <c r="I51" s="2" t="s">
        <v>167</v>
      </c>
      <c r="J51" s="1" t="s">
        <v>153</v>
      </c>
      <c r="K51" s="3">
        <v>2</v>
      </c>
      <c r="L51" s="2" t="s">
        <v>170</v>
      </c>
      <c r="M51" s="1" t="s">
        <v>8</v>
      </c>
      <c r="N51" s="2" t="s">
        <v>174</v>
      </c>
      <c r="O51" s="2" t="s">
        <v>175</v>
      </c>
      <c r="P51" s="2" t="s">
        <v>179</v>
      </c>
      <c r="Q51" s="1" t="s">
        <v>180</v>
      </c>
      <c r="R51" s="1" t="s">
        <v>181</v>
      </c>
      <c r="S51" s="2" t="s">
        <v>183</v>
      </c>
      <c r="T51" s="2" t="s">
        <v>183</v>
      </c>
      <c r="U51" s="2" t="s">
        <v>184</v>
      </c>
      <c r="V51" s="2" t="s">
        <v>182</v>
      </c>
      <c r="W51" s="2" t="s">
        <v>183</v>
      </c>
      <c r="X51" s="2" t="s">
        <v>183</v>
      </c>
      <c r="Y51" s="1" t="s">
        <v>183</v>
      </c>
      <c r="Z51" s="1" t="s">
        <v>182</v>
      </c>
      <c r="AA51" s="1" t="s">
        <v>183</v>
      </c>
      <c r="AB51" s="1" t="s">
        <v>182</v>
      </c>
      <c r="AC51" s="1" t="s">
        <v>184</v>
      </c>
      <c r="AD51" s="1" t="s">
        <v>153</v>
      </c>
      <c r="AE51" s="1" t="s">
        <v>154</v>
      </c>
      <c r="AF51" s="2" t="s">
        <v>191</v>
      </c>
      <c r="AG51" s="3" t="s">
        <v>185</v>
      </c>
      <c r="AH51" s="2" t="s">
        <v>182</v>
      </c>
      <c r="AI51" s="1" t="s">
        <v>184</v>
      </c>
      <c r="AJ51" s="1" t="s">
        <v>154</v>
      </c>
      <c r="AK51" s="1" t="s">
        <v>195</v>
      </c>
      <c r="AL51" s="1" t="s">
        <v>154</v>
      </c>
      <c r="AM51" s="1" t="s">
        <v>192</v>
      </c>
      <c r="AN51" s="1" t="s">
        <v>188</v>
      </c>
      <c r="AO51" s="1" t="s">
        <v>196</v>
      </c>
    </row>
    <row r="52" spans="1:41" x14ac:dyDescent="0.3">
      <c r="A52" s="5">
        <v>46228</v>
      </c>
      <c r="B52" s="1" t="s">
        <v>71</v>
      </c>
      <c r="C52" s="1" t="s">
        <v>154</v>
      </c>
      <c r="D52" s="3">
        <f t="shared" ca="1" si="0"/>
        <v>30</v>
      </c>
      <c r="E52" s="1" t="s">
        <v>137</v>
      </c>
      <c r="F52" s="1" t="s">
        <v>3</v>
      </c>
      <c r="G52" s="1" t="s">
        <v>4</v>
      </c>
      <c r="H52" s="2" t="s">
        <v>151</v>
      </c>
      <c r="I52" s="2" t="s">
        <v>167</v>
      </c>
      <c r="J52" s="1" t="s">
        <v>153</v>
      </c>
      <c r="K52" s="3">
        <v>2</v>
      </c>
      <c r="L52" s="2" t="s">
        <v>170</v>
      </c>
      <c r="M52" s="1" t="s">
        <v>8</v>
      </c>
      <c r="N52" s="2" t="s">
        <v>174</v>
      </c>
      <c r="O52" s="2" t="s">
        <v>175</v>
      </c>
      <c r="P52" s="2" t="s">
        <v>179</v>
      </c>
      <c r="Q52" s="1" t="s">
        <v>180</v>
      </c>
      <c r="R52" s="1" t="s">
        <v>181</v>
      </c>
      <c r="S52" s="2" t="s">
        <v>183</v>
      </c>
      <c r="T52" s="2" t="s">
        <v>183</v>
      </c>
      <c r="U52" s="2" t="s">
        <v>184</v>
      </c>
      <c r="V52" s="2" t="s">
        <v>182</v>
      </c>
      <c r="W52" s="2" t="s">
        <v>183</v>
      </c>
      <c r="X52" s="2" t="s">
        <v>183</v>
      </c>
      <c r="Y52" s="1" t="s">
        <v>183</v>
      </c>
      <c r="Z52" s="1" t="s">
        <v>182</v>
      </c>
      <c r="AA52" s="1" t="s">
        <v>183</v>
      </c>
      <c r="AB52" s="1" t="s">
        <v>182</v>
      </c>
      <c r="AC52" s="1" t="s">
        <v>184</v>
      </c>
      <c r="AD52" s="1" t="s">
        <v>153</v>
      </c>
      <c r="AE52" s="1" t="s">
        <v>154</v>
      </c>
      <c r="AF52" s="2" t="s">
        <v>191</v>
      </c>
      <c r="AG52" s="3" t="s">
        <v>185</v>
      </c>
      <c r="AH52" s="2" t="s">
        <v>182</v>
      </c>
      <c r="AI52" s="1" t="s">
        <v>182</v>
      </c>
      <c r="AJ52" s="1" t="s">
        <v>154</v>
      </c>
      <c r="AK52" s="1" t="s">
        <v>186</v>
      </c>
      <c r="AL52" s="1" t="s">
        <v>154</v>
      </c>
      <c r="AM52" s="1" t="s">
        <v>187</v>
      </c>
      <c r="AN52" s="1" t="s">
        <v>188</v>
      </c>
      <c r="AO52" s="1" t="s">
        <v>189</v>
      </c>
    </row>
    <row r="53" spans="1:41" x14ac:dyDescent="0.3">
      <c r="A53" s="5">
        <v>46023</v>
      </c>
      <c r="B53" s="1" t="s">
        <v>72</v>
      </c>
      <c r="C53" s="1" t="s">
        <v>154</v>
      </c>
      <c r="D53" s="3">
        <f t="shared" ca="1" si="0"/>
        <v>24</v>
      </c>
      <c r="E53" s="1" t="s">
        <v>137</v>
      </c>
      <c r="F53" s="1" t="s">
        <v>3</v>
      </c>
      <c r="G53" s="1" t="s">
        <v>4</v>
      </c>
      <c r="H53" s="2" t="s">
        <v>151</v>
      </c>
      <c r="I53" s="2" t="s">
        <v>167</v>
      </c>
      <c r="J53" s="1" t="s">
        <v>153</v>
      </c>
      <c r="K53" s="3">
        <v>2</v>
      </c>
      <c r="L53" s="2" t="s">
        <v>170</v>
      </c>
      <c r="M53" s="1" t="s">
        <v>8</v>
      </c>
      <c r="N53" s="2" t="s">
        <v>174</v>
      </c>
      <c r="O53" s="2" t="s">
        <v>175</v>
      </c>
      <c r="P53" s="2" t="s">
        <v>179</v>
      </c>
      <c r="Q53" s="1" t="s">
        <v>180</v>
      </c>
      <c r="R53" s="1" t="s">
        <v>181</v>
      </c>
      <c r="S53" s="2" t="s">
        <v>183</v>
      </c>
      <c r="T53" s="2" t="s">
        <v>183</v>
      </c>
      <c r="U53" s="2" t="s">
        <v>184</v>
      </c>
      <c r="V53" s="2" t="s">
        <v>182</v>
      </c>
      <c r="W53" s="2" t="s">
        <v>183</v>
      </c>
      <c r="X53" s="2" t="s">
        <v>183</v>
      </c>
      <c r="Y53" s="1" t="s">
        <v>183</v>
      </c>
      <c r="Z53" s="1" t="s">
        <v>182</v>
      </c>
      <c r="AA53" s="1" t="s">
        <v>183</v>
      </c>
      <c r="AB53" s="1" t="s">
        <v>182</v>
      </c>
      <c r="AC53" s="1" t="s">
        <v>184</v>
      </c>
      <c r="AD53" s="1" t="s">
        <v>153</v>
      </c>
      <c r="AE53" s="1" t="s">
        <v>154</v>
      </c>
      <c r="AF53" s="2" t="s">
        <v>181</v>
      </c>
      <c r="AG53" s="3" t="s">
        <v>185</v>
      </c>
      <c r="AH53" s="2" t="s">
        <v>182</v>
      </c>
      <c r="AI53" s="1" t="s">
        <v>182</v>
      </c>
      <c r="AJ53" s="1" t="s">
        <v>154</v>
      </c>
      <c r="AK53" s="1" t="s">
        <v>186</v>
      </c>
      <c r="AL53" s="1" t="s">
        <v>154</v>
      </c>
      <c r="AM53" s="1" t="s">
        <v>192</v>
      </c>
      <c r="AN53" s="1" t="s">
        <v>193</v>
      </c>
      <c r="AO53" s="1" t="s">
        <v>194</v>
      </c>
    </row>
    <row r="54" spans="1:41" x14ac:dyDescent="0.3">
      <c r="A54" s="5">
        <v>46025</v>
      </c>
      <c r="B54" s="1" t="s">
        <v>73</v>
      </c>
      <c r="C54" s="1" t="s">
        <v>154</v>
      </c>
      <c r="D54" s="3">
        <f t="shared" ca="1" si="0"/>
        <v>23</v>
      </c>
      <c r="E54" s="1" t="s">
        <v>137</v>
      </c>
      <c r="F54" s="1" t="s">
        <v>3</v>
      </c>
      <c r="G54" s="1" t="s">
        <v>4</v>
      </c>
      <c r="H54" s="2" t="s">
        <v>151</v>
      </c>
      <c r="I54" s="2" t="s">
        <v>167</v>
      </c>
      <c r="J54" s="1" t="s">
        <v>153</v>
      </c>
      <c r="K54" s="3">
        <v>2</v>
      </c>
      <c r="L54" s="2" t="s">
        <v>170</v>
      </c>
      <c r="M54" s="1" t="s">
        <v>8</v>
      </c>
      <c r="N54" s="2" t="s">
        <v>174</v>
      </c>
      <c r="O54" s="2" t="s">
        <v>175</v>
      </c>
      <c r="P54" s="2" t="s">
        <v>179</v>
      </c>
      <c r="Q54" s="1" t="s">
        <v>180</v>
      </c>
      <c r="R54" s="1" t="s">
        <v>181</v>
      </c>
      <c r="S54" s="2" t="s">
        <v>183</v>
      </c>
      <c r="T54" s="2" t="s">
        <v>183</v>
      </c>
      <c r="U54" s="2" t="s">
        <v>184</v>
      </c>
      <c r="V54" s="2" t="s">
        <v>182</v>
      </c>
      <c r="W54" s="2" t="s">
        <v>183</v>
      </c>
      <c r="X54" s="2" t="s">
        <v>183</v>
      </c>
      <c r="Y54" s="1" t="s">
        <v>183</v>
      </c>
      <c r="Z54" s="1" t="s">
        <v>182</v>
      </c>
      <c r="AA54" s="1" t="s">
        <v>183</v>
      </c>
      <c r="AB54" s="1" t="s">
        <v>182</v>
      </c>
      <c r="AC54" s="1" t="s">
        <v>184</v>
      </c>
      <c r="AD54" s="1" t="s">
        <v>153</v>
      </c>
      <c r="AE54" s="1" t="s">
        <v>154</v>
      </c>
      <c r="AF54" s="2" t="s">
        <v>191</v>
      </c>
      <c r="AG54" s="3" t="s">
        <v>185</v>
      </c>
      <c r="AH54" s="2" t="s">
        <v>182</v>
      </c>
      <c r="AI54" s="1" t="s">
        <v>184</v>
      </c>
      <c r="AJ54" s="1" t="s">
        <v>154</v>
      </c>
      <c r="AK54" s="1" t="s">
        <v>195</v>
      </c>
      <c r="AL54" s="1" t="s">
        <v>154</v>
      </c>
      <c r="AM54" s="1" t="s">
        <v>192</v>
      </c>
      <c r="AN54" s="1" t="s">
        <v>188</v>
      </c>
      <c r="AO54" s="1" t="s">
        <v>196</v>
      </c>
    </row>
    <row r="55" spans="1:41" x14ac:dyDescent="0.3">
      <c r="A55" s="5">
        <v>46030</v>
      </c>
      <c r="B55" s="1" t="s">
        <v>74</v>
      </c>
      <c r="C55" s="1" t="s">
        <v>154</v>
      </c>
      <c r="D55" s="3">
        <f t="shared" ca="1" si="0"/>
        <v>20</v>
      </c>
      <c r="E55" s="1" t="s">
        <v>137</v>
      </c>
      <c r="F55" s="1" t="s">
        <v>3</v>
      </c>
      <c r="G55" s="1" t="s">
        <v>4</v>
      </c>
      <c r="H55" s="2" t="s">
        <v>151</v>
      </c>
      <c r="I55" s="2" t="s">
        <v>167</v>
      </c>
      <c r="J55" s="1" t="s">
        <v>153</v>
      </c>
      <c r="K55" s="3">
        <v>2</v>
      </c>
      <c r="L55" s="2" t="s">
        <v>170</v>
      </c>
      <c r="M55" s="1" t="s">
        <v>8</v>
      </c>
      <c r="N55" s="2" t="s">
        <v>174</v>
      </c>
      <c r="O55" s="2" t="s">
        <v>175</v>
      </c>
      <c r="P55" s="2" t="s">
        <v>179</v>
      </c>
      <c r="Q55" s="1" t="s">
        <v>180</v>
      </c>
      <c r="R55" s="1" t="s">
        <v>181</v>
      </c>
      <c r="S55" s="2" t="s">
        <v>183</v>
      </c>
      <c r="T55" s="2" t="s">
        <v>183</v>
      </c>
      <c r="U55" s="2" t="s">
        <v>184</v>
      </c>
      <c r="V55" s="2" t="s">
        <v>182</v>
      </c>
      <c r="W55" s="2" t="s">
        <v>183</v>
      </c>
      <c r="X55" s="2" t="s">
        <v>183</v>
      </c>
      <c r="Y55" s="1" t="s">
        <v>183</v>
      </c>
      <c r="Z55" s="1" t="s">
        <v>182</v>
      </c>
      <c r="AA55" s="1" t="s">
        <v>183</v>
      </c>
      <c r="AB55" s="1" t="s">
        <v>182</v>
      </c>
      <c r="AC55" s="1" t="s">
        <v>184</v>
      </c>
      <c r="AD55" s="1" t="s">
        <v>153</v>
      </c>
      <c r="AE55" s="1" t="s">
        <v>154</v>
      </c>
      <c r="AF55" s="2" t="s">
        <v>181</v>
      </c>
      <c r="AG55" s="3" t="s">
        <v>185</v>
      </c>
      <c r="AH55" s="2" t="s">
        <v>182</v>
      </c>
      <c r="AI55" s="1" t="s">
        <v>182</v>
      </c>
      <c r="AJ55" s="1" t="s">
        <v>154</v>
      </c>
      <c r="AK55" s="1" t="s">
        <v>195</v>
      </c>
      <c r="AL55" s="1" t="s">
        <v>154</v>
      </c>
      <c r="AM55" s="1" t="s">
        <v>192</v>
      </c>
      <c r="AN55" s="1" t="s">
        <v>188</v>
      </c>
      <c r="AO55" s="1" t="s">
        <v>196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E7DF-A236-4FC0-8C27-DD45200DEBEC}">
  <dimension ref="A1:D41"/>
  <sheetViews>
    <sheetView workbookViewId="0">
      <selection activeCell="F17" sqref="F17"/>
    </sheetView>
  </sheetViews>
  <sheetFormatPr defaultRowHeight="14.4" x14ac:dyDescent="0.3"/>
  <cols>
    <col min="1" max="1" width="29" bestFit="1" customWidth="1"/>
    <col min="2" max="2" width="55.59765625" bestFit="1" customWidth="1"/>
    <col min="3" max="3" width="14.796875" bestFit="1" customWidth="1"/>
    <col min="4" max="4" width="40.09765625" bestFit="1" customWidth="1"/>
    <col min="5" max="5" width="15.59765625" bestFit="1" customWidth="1"/>
  </cols>
  <sheetData>
    <row r="1" spans="1:4" x14ac:dyDescent="0.3">
      <c r="A1" s="25" t="s">
        <v>114</v>
      </c>
      <c r="B1" s="25" t="s">
        <v>310</v>
      </c>
      <c r="C1" s="25" t="s">
        <v>311</v>
      </c>
      <c r="D1" s="25" t="s">
        <v>312</v>
      </c>
    </row>
    <row r="2" spans="1:4" x14ac:dyDescent="0.3">
      <c r="A2" s="1" t="s">
        <v>197</v>
      </c>
      <c r="B2" s="1" t="s">
        <v>198</v>
      </c>
      <c r="C2" s="1" t="s">
        <v>199</v>
      </c>
      <c r="D2" s="1" t="s">
        <v>200</v>
      </c>
    </row>
    <row r="3" spans="1:4" x14ac:dyDescent="0.3">
      <c r="A3" s="1" t="s">
        <v>201</v>
      </c>
      <c r="B3" s="1" t="s">
        <v>202</v>
      </c>
      <c r="C3" s="1" t="s">
        <v>203</v>
      </c>
      <c r="D3" s="1" t="s">
        <v>204</v>
      </c>
    </row>
    <row r="4" spans="1:4" x14ac:dyDescent="0.3">
      <c r="A4" s="1" t="s">
        <v>205</v>
      </c>
      <c r="B4" s="1" t="s">
        <v>206</v>
      </c>
      <c r="C4" s="1" t="s">
        <v>207</v>
      </c>
      <c r="D4" s="1">
        <v>28</v>
      </c>
    </row>
    <row r="5" spans="1:4" x14ac:dyDescent="0.3">
      <c r="A5" s="1" t="s">
        <v>208</v>
      </c>
      <c r="B5" s="1" t="s">
        <v>209</v>
      </c>
      <c r="C5" s="1" t="s">
        <v>199</v>
      </c>
      <c r="D5" s="1" t="s">
        <v>210</v>
      </c>
    </row>
    <row r="6" spans="1:4" x14ac:dyDescent="0.3">
      <c r="A6" s="1" t="s">
        <v>211</v>
      </c>
      <c r="B6" s="1" t="s">
        <v>212</v>
      </c>
      <c r="C6" s="1" t="s">
        <v>199</v>
      </c>
      <c r="D6" s="1" t="s">
        <v>213</v>
      </c>
    </row>
    <row r="7" spans="1:4" x14ac:dyDescent="0.3">
      <c r="A7" s="1" t="s">
        <v>214</v>
      </c>
      <c r="B7" s="1" t="s">
        <v>215</v>
      </c>
      <c r="C7" s="1" t="s">
        <v>199</v>
      </c>
      <c r="D7" s="1" t="s">
        <v>216</v>
      </c>
    </row>
    <row r="8" spans="1:4" x14ac:dyDescent="0.3">
      <c r="A8" s="1" t="s">
        <v>217</v>
      </c>
      <c r="B8" s="1" t="s">
        <v>218</v>
      </c>
      <c r="C8" s="1" t="s">
        <v>199</v>
      </c>
      <c r="D8" s="1" t="s">
        <v>219</v>
      </c>
    </row>
    <row r="9" spans="1:4" x14ac:dyDescent="0.3">
      <c r="A9" s="1" t="s">
        <v>220</v>
      </c>
      <c r="B9" s="1" t="s">
        <v>221</v>
      </c>
      <c r="C9" s="1" t="s">
        <v>199</v>
      </c>
      <c r="D9" s="1" t="s">
        <v>222</v>
      </c>
    </row>
    <row r="10" spans="1:4" x14ac:dyDescent="0.3">
      <c r="A10" s="1" t="s">
        <v>223</v>
      </c>
      <c r="B10" s="1" t="s">
        <v>224</v>
      </c>
      <c r="C10" s="1" t="s">
        <v>199</v>
      </c>
      <c r="D10" s="1" t="s">
        <v>225</v>
      </c>
    </row>
    <row r="11" spans="1:4" x14ac:dyDescent="0.3">
      <c r="A11" s="1" t="s">
        <v>226</v>
      </c>
      <c r="B11" s="1" t="s">
        <v>227</v>
      </c>
      <c r="C11" s="1" t="s">
        <v>199</v>
      </c>
      <c r="D11" s="1" t="s">
        <v>228</v>
      </c>
    </row>
    <row r="12" spans="1:4" x14ac:dyDescent="0.3">
      <c r="A12" s="1" t="s">
        <v>229</v>
      </c>
      <c r="B12" s="1" t="s">
        <v>230</v>
      </c>
      <c r="C12" s="1" t="s">
        <v>199</v>
      </c>
      <c r="D12" s="1" t="s">
        <v>231</v>
      </c>
    </row>
    <row r="13" spans="1:4" x14ac:dyDescent="0.3">
      <c r="A13" s="1" t="s">
        <v>232</v>
      </c>
      <c r="B13" s="1" t="s">
        <v>233</v>
      </c>
      <c r="C13" s="1" t="s">
        <v>199</v>
      </c>
      <c r="D13" s="1" t="s">
        <v>234</v>
      </c>
    </row>
    <row r="14" spans="1:4" x14ac:dyDescent="0.3">
      <c r="A14" s="1" t="s">
        <v>235</v>
      </c>
      <c r="B14" s="1" t="s">
        <v>236</v>
      </c>
      <c r="C14" s="1" t="s">
        <v>199</v>
      </c>
      <c r="D14" s="1" t="s">
        <v>237</v>
      </c>
    </row>
    <row r="15" spans="1:4" x14ac:dyDescent="0.3">
      <c r="A15" s="1" t="s">
        <v>238</v>
      </c>
      <c r="B15" s="1" t="s">
        <v>239</v>
      </c>
      <c r="C15" s="1" t="s">
        <v>199</v>
      </c>
      <c r="D15" s="1" t="s">
        <v>240</v>
      </c>
    </row>
    <row r="16" spans="1:4" x14ac:dyDescent="0.3">
      <c r="A16" s="1" t="s">
        <v>241</v>
      </c>
      <c r="B16" s="1" t="s">
        <v>242</v>
      </c>
      <c r="C16" s="1" t="s">
        <v>199</v>
      </c>
      <c r="D16" s="1" t="s">
        <v>243</v>
      </c>
    </row>
    <row r="17" spans="1:4" x14ac:dyDescent="0.3">
      <c r="A17" s="1" t="s">
        <v>244</v>
      </c>
      <c r="B17" s="1" t="s">
        <v>245</v>
      </c>
      <c r="C17" s="1" t="s">
        <v>199</v>
      </c>
      <c r="D17" s="1" t="s">
        <v>246</v>
      </c>
    </row>
    <row r="18" spans="1:4" x14ac:dyDescent="0.3">
      <c r="A18" s="1" t="s">
        <v>247</v>
      </c>
      <c r="B18" s="1" t="s">
        <v>248</v>
      </c>
      <c r="C18" s="1" t="s">
        <v>199</v>
      </c>
      <c r="D18" s="1" t="s">
        <v>249</v>
      </c>
    </row>
    <row r="19" spans="1:4" x14ac:dyDescent="0.3">
      <c r="A19" s="1" t="s">
        <v>250</v>
      </c>
      <c r="B19" s="1" t="s">
        <v>251</v>
      </c>
      <c r="C19" s="1" t="s">
        <v>199</v>
      </c>
      <c r="D19" s="1" t="s">
        <v>252</v>
      </c>
    </row>
    <row r="20" spans="1:4" x14ac:dyDescent="0.3">
      <c r="A20" s="1" t="s">
        <v>253</v>
      </c>
      <c r="B20" s="1" t="s">
        <v>254</v>
      </c>
      <c r="C20" s="1" t="s">
        <v>199</v>
      </c>
      <c r="D20" s="1" t="s">
        <v>255</v>
      </c>
    </row>
    <row r="21" spans="1:4" x14ac:dyDescent="0.3">
      <c r="A21" s="1" t="s">
        <v>256</v>
      </c>
      <c r="B21" s="1" t="s">
        <v>257</v>
      </c>
      <c r="C21" s="1" t="s">
        <v>199</v>
      </c>
      <c r="D21" s="1" t="s">
        <v>258</v>
      </c>
    </row>
    <row r="22" spans="1:4" x14ac:dyDescent="0.3">
      <c r="A22" s="1" t="s">
        <v>259</v>
      </c>
      <c r="B22" s="1" t="s">
        <v>260</v>
      </c>
      <c r="C22" s="1" t="s">
        <v>199</v>
      </c>
      <c r="D22" s="1" t="s">
        <v>261</v>
      </c>
    </row>
    <row r="23" spans="1:4" x14ac:dyDescent="0.3">
      <c r="A23" s="1" t="s">
        <v>262</v>
      </c>
      <c r="B23" s="1" t="s">
        <v>263</v>
      </c>
      <c r="C23" s="1" t="s">
        <v>199</v>
      </c>
      <c r="D23" s="1" t="s">
        <v>258</v>
      </c>
    </row>
    <row r="24" spans="1:4" x14ac:dyDescent="0.3">
      <c r="A24" s="1" t="s">
        <v>264</v>
      </c>
      <c r="B24" s="1" t="s">
        <v>265</v>
      </c>
      <c r="C24" s="1" t="s">
        <v>199</v>
      </c>
      <c r="D24" s="1" t="s">
        <v>266</v>
      </c>
    </row>
    <row r="25" spans="1:4" x14ac:dyDescent="0.3">
      <c r="A25" s="1" t="s">
        <v>267</v>
      </c>
      <c r="B25" s="1" t="s">
        <v>268</v>
      </c>
      <c r="C25" s="1" t="s">
        <v>199</v>
      </c>
      <c r="D25" s="1" t="s">
        <v>269</v>
      </c>
    </row>
    <row r="26" spans="1:4" x14ac:dyDescent="0.3">
      <c r="A26" s="1" t="s">
        <v>270</v>
      </c>
      <c r="B26" s="1" t="s">
        <v>271</v>
      </c>
      <c r="C26" s="1" t="s">
        <v>199</v>
      </c>
      <c r="D26" s="1" t="s">
        <v>261</v>
      </c>
    </row>
    <row r="27" spans="1:4" x14ac:dyDescent="0.3">
      <c r="A27" s="1" t="s">
        <v>272</v>
      </c>
      <c r="B27" s="1" t="s">
        <v>273</v>
      </c>
      <c r="C27" s="1" t="s">
        <v>199</v>
      </c>
      <c r="D27" s="1" t="s">
        <v>274</v>
      </c>
    </row>
    <row r="28" spans="1:4" x14ac:dyDescent="0.3">
      <c r="A28" s="1" t="s">
        <v>275</v>
      </c>
      <c r="B28" s="1" t="s">
        <v>276</v>
      </c>
      <c r="C28" s="1" t="s">
        <v>199</v>
      </c>
      <c r="D28" s="1" t="s">
        <v>277</v>
      </c>
    </row>
    <row r="29" spans="1:4" x14ac:dyDescent="0.3">
      <c r="A29" s="1" t="s">
        <v>278</v>
      </c>
      <c r="B29" s="1" t="s">
        <v>279</v>
      </c>
      <c r="C29" s="1" t="s">
        <v>199</v>
      </c>
      <c r="D29" s="1" t="s">
        <v>277</v>
      </c>
    </row>
    <row r="30" spans="1:4" x14ac:dyDescent="0.3">
      <c r="A30" s="1" t="s">
        <v>280</v>
      </c>
      <c r="B30" s="1" t="s">
        <v>281</v>
      </c>
      <c r="C30" s="1" t="s">
        <v>199</v>
      </c>
      <c r="D30" s="1" t="s">
        <v>225</v>
      </c>
    </row>
    <row r="31" spans="1:4" x14ac:dyDescent="0.3">
      <c r="A31" s="1" t="s">
        <v>282</v>
      </c>
      <c r="B31" s="1" t="s">
        <v>283</v>
      </c>
      <c r="C31" s="1" t="s">
        <v>199</v>
      </c>
      <c r="D31" s="1" t="s">
        <v>246</v>
      </c>
    </row>
    <row r="32" spans="1:4" x14ac:dyDescent="0.3">
      <c r="A32" s="1" t="s">
        <v>284</v>
      </c>
      <c r="B32" s="1" t="s">
        <v>285</v>
      </c>
      <c r="C32" s="1" t="s">
        <v>199</v>
      </c>
      <c r="D32" s="1" t="s">
        <v>246</v>
      </c>
    </row>
    <row r="33" spans="1:4" x14ac:dyDescent="0.3">
      <c r="A33" s="1" t="s">
        <v>286</v>
      </c>
      <c r="B33" s="1" t="s">
        <v>287</v>
      </c>
      <c r="C33" s="1" t="s">
        <v>199</v>
      </c>
      <c r="D33" s="1" t="s">
        <v>288</v>
      </c>
    </row>
    <row r="34" spans="1:4" x14ac:dyDescent="0.3">
      <c r="A34" s="1" t="s">
        <v>289</v>
      </c>
      <c r="B34" s="1" t="s">
        <v>290</v>
      </c>
      <c r="C34" s="1" t="s">
        <v>199</v>
      </c>
      <c r="D34" s="1" t="s">
        <v>252</v>
      </c>
    </row>
    <row r="35" spans="1:4" x14ac:dyDescent="0.3">
      <c r="A35" s="1" t="s">
        <v>291</v>
      </c>
      <c r="B35" s="1" t="s">
        <v>292</v>
      </c>
      <c r="C35" s="1" t="s">
        <v>199</v>
      </c>
      <c r="D35" s="1" t="s">
        <v>293</v>
      </c>
    </row>
    <row r="36" spans="1:4" x14ac:dyDescent="0.3">
      <c r="A36" s="1" t="s">
        <v>294</v>
      </c>
      <c r="B36" s="1" t="s">
        <v>295</v>
      </c>
      <c r="C36" s="1" t="s">
        <v>199</v>
      </c>
      <c r="D36" s="1" t="s">
        <v>246</v>
      </c>
    </row>
    <row r="37" spans="1:4" x14ac:dyDescent="0.3">
      <c r="A37" s="1" t="s">
        <v>296</v>
      </c>
      <c r="B37" s="1" t="s">
        <v>297</v>
      </c>
      <c r="C37" s="1" t="s">
        <v>199</v>
      </c>
      <c r="D37" s="1" t="s">
        <v>246</v>
      </c>
    </row>
    <row r="38" spans="1:4" x14ac:dyDescent="0.3">
      <c r="A38" s="1" t="s">
        <v>298</v>
      </c>
      <c r="B38" s="1" t="s">
        <v>299</v>
      </c>
      <c r="C38" s="1" t="s">
        <v>199</v>
      </c>
      <c r="D38" s="1" t="s">
        <v>246</v>
      </c>
    </row>
    <row r="39" spans="1:4" x14ac:dyDescent="0.3">
      <c r="A39" s="1" t="s">
        <v>300</v>
      </c>
      <c r="B39" s="1" t="s">
        <v>301</v>
      </c>
      <c r="C39" s="1" t="s">
        <v>199</v>
      </c>
      <c r="D39" s="1" t="s">
        <v>302</v>
      </c>
    </row>
    <row r="40" spans="1:4" x14ac:dyDescent="0.3">
      <c r="A40" s="1" t="s">
        <v>303</v>
      </c>
      <c r="B40" s="1" t="s">
        <v>304</v>
      </c>
      <c r="C40" s="1" t="s">
        <v>199</v>
      </c>
      <c r="D40" s="1" t="s">
        <v>305</v>
      </c>
    </row>
    <row r="41" spans="1:4" x14ac:dyDescent="0.3">
      <c r="A41" s="1" t="s">
        <v>306</v>
      </c>
      <c r="B41" s="1" t="s">
        <v>307</v>
      </c>
      <c r="C41" s="1" t="s">
        <v>308</v>
      </c>
      <c r="D41" s="1" t="s">
        <v>309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9422-536B-4214-AD2A-F8FCCAF534B8}">
  <dimension ref="A1:B15"/>
  <sheetViews>
    <sheetView workbookViewId="0">
      <selection activeCell="D22" sqref="D22"/>
    </sheetView>
  </sheetViews>
  <sheetFormatPr defaultRowHeight="14.4" x14ac:dyDescent="0.3"/>
  <cols>
    <col min="1" max="1" width="21.3984375" bestFit="1" customWidth="1"/>
    <col min="2" max="2" width="46.19921875" bestFit="1" customWidth="1"/>
  </cols>
  <sheetData>
    <row r="1" spans="1:2" x14ac:dyDescent="0.3">
      <c r="A1" s="10" t="s">
        <v>118</v>
      </c>
      <c r="B1" s="10" t="s">
        <v>119</v>
      </c>
    </row>
    <row r="2" spans="1:2" x14ac:dyDescent="0.3">
      <c r="A2" s="1"/>
      <c r="B2" s="1"/>
    </row>
    <row r="3" spans="1:2" x14ac:dyDescent="0.3">
      <c r="A3" s="1" t="s">
        <v>125</v>
      </c>
      <c r="B3" s="1">
        <v>54</v>
      </c>
    </row>
    <row r="4" spans="1:2" x14ac:dyDescent="0.3">
      <c r="A4" s="1"/>
      <c r="B4" s="1"/>
    </row>
    <row r="5" spans="1:2" x14ac:dyDescent="0.3">
      <c r="A5" s="1" t="s">
        <v>120</v>
      </c>
      <c r="B5" s="1">
        <v>41</v>
      </c>
    </row>
    <row r="6" spans="1:2" x14ac:dyDescent="0.3">
      <c r="A6" s="1"/>
      <c r="B6" s="1"/>
    </row>
    <row r="7" spans="1:2" x14ac:dyDescent="0.3">
      <c r="A7" s="1" t="s">
        <v>124</v>
      </c>
      <c r="B7" s="1">
        <v>0</v>
      </c>
    </row>
    <row r="8" spans="1:2" x14ac:dyDescent="0.3">
      <c r="A8" s="1"/>
      <c r="B8" s="1"/>
    </row>
    <row r="9" spans="1:2" x14ac:dyDescent="0.3">
      <c r="A9" s="1" t="s">
        <v>123</v>
      </c>
      <c r="B9" s="1">
        <v>0</v>
      </c>
    </row>
    <row r="10" spans="1:2" x14ac:dyDescent="0.3">
      <c r="A10" s="1"/>
      <c r="B10" s="1"/>
    </row>
    <row r="11" spans="1:2" x14ac:dyDescent="0.3">
      <c r="A11" s="1" t="s">
        <v>121</v>
      </c>
      <c r="B11" s="1" t="s">
        <v>164</v>
      </c>
    </row>
    <row r="12" spans="1:2" x14ac:dyDescent="0.3">
      <c r="A12" s="1"/>
      <c r="B12" s="1"/>
    </row>
    <row r="13" spans="1:2" x14ac:dyDescent="0.3">
      <c r="A13" s="1" t="s">
        <v>115</v>
      </c>
      <c r="B13" s="1" t="s">
        <v>122</v>
      </c>
    </row>
    <row r="14" spans="1:2" x14ac:dyDescent="0.3">
      <c r="A14" s="1"/>
      <c r="B14" s="1"/>
    </row>
    <row r="15" spans="1:2" x14ac:dyDescent="0.3">
      <c r="A15" s="1" t="s">
        <v>116</v>
      </c>
      <c r="B15" s="1"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2F309-AEF1-4C08-9AC9-D33AD79A0883}">
  <dimension ref="A1:V4"/>
  <sheetViews>
    <sheetView workbookViewId="0">
      <selection activeCell="I7" sqref="I7"/>
    </sheetView>
  </sheetViews>
  <sheetFormatPr defaultRowHeight="14.4" x14ac:dyDescent="0.3"/>
  <sheetData>
    <row r="1" spans="1:22" x14ac:dyDescent="0.3">
      <c r="A1" s="26" t="s">
        <v>119</v>
      </c>
      <c r="B1" s="26"/>
      <c r="C1" s="26"/>
      <c r="D1" s="26"/>
      <c r="E1" s="26"/>
      <c r="F1" s="26"/>
      <c r="G1" s="26"/>
      <c r="H1" s="26"/>
      <c r="I1" s="13"/>
      <c r="J1" s="13"/>
      <c r="K1" s="13"/>
      <c r="L1" s="13"/>
      <c r="M1" s="13"/>
      <c r="N1" s="13"/>
      <c r="O1" s="13"/>
      <c r="P1" s="13"/>
      <c r="Q1" s="13"/>
      <c r="R1" s="13"/>
      <c r="S1" s="13"/>
      <c r="T1" s="13"/>
      <c r="U1" s="13"/>
      <c r="V1" s="13"/>
    </row>
    <row r="2" spans="1:22" x14ac:dyDescent="0.3">
      <c r="A2" s="27" t="s">
        <v>129</v>
      </c>
      <c r="B2" s="27"/>
      <c r="C2" s="27"/>
      <c r="D2" s="27"/>
      <c r="E2" s="27"/>
      <c r="F2" s="27"/>
      <c r="G2" s="27"/>
      <c r="H2" s="27"/>
      <c r="I2" s="13"/>
      <c r="J2" s="13"/>
      <c r="K2" s="13"/>
      <c r="L2" s="13"/>
      <c r="M2" s="13"/>
      <c r="N2" s="13"/>
      <c r="O2" s="13"/>
      <c r="P2" s="13"/>
      <c r="Q2" s="13"/>
      <c r="R2" s="13"/>
      <c r="S2" s="13"/>
      <c r="T2" s="13"/>
      <c r="U2" s="13"/>
      <c r="V2" s="13"/>
    </row>
    <row r="3" spans="1:22" x14ac:dyDescent="0.3">
      <c r="A3" s="12"/>
      <c r="B3" s="12" t="s">
        <v>130</v>
      </c>
      <c r="C3" s="12" t="s">
        <v>126</v>
      </c>
      <c r="D3" s="12" t="s">
        <v>127</v>
      </c>
      <c r="E3" s="12" t="s">
        <v>131</v>
      </c>
      <c r="F3" s="12" t="s">
        <v>128</v>
      </c>
      <c r="G3" s="12" t="s">
        <v>132</v>
      </c>
      <c r="H3" s="12" t="s">
        <v>133</v>
      </c>
    </row>
    <row r="4" spans="1:22" x14ac:dyDescent="0.3">
      <c r="A4" s="1" t="s">
        <v>113</v>
      </c>
      <c r="B4" s="1">
        <v>54</v>
      </c>
      <c r="C4" s="1">
        <v>20</v>
      </c>
      <c r="D4" s="1">
        <v>48</v>
      </c>
      <c r="E4" s="1">
        <v>35</v>
      </c>
      <c r="F4" s="1">
        <v>33</v>
      </c>
      <c r="G4" s="1">
        <v>28</v>
      </c>
      <c r="H4" s="1">
        <v>9</v>
      </c>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99FB9-76F2-4975-BDA0-618692B50FDA}">
  <dimension ref="A1:C46"/>
  <sheetViews>
    <sheetView workbookViewId="0">
      <selection activeCell="A9" sqref="A9"/>
    </sheetView>
  </sheetViews>
  <sheetFormatPr defaultRowHeight="14.4" x14ac:dyDescent="0.3"/>
  <cols>
    <col min="1" max="1" width="21.69921875" bestFit="1" customWidth="1"/>
    <col min="2" max="2" width="9.5" bestFit="1" customWidth="1"/>
    <col min="3" max="3" width="14.8984375" bestFit="1" customWidth="1"/>
  </cols>
  <sheetData>
    <row r="1" spans="1:3" x14ac:dyDescent="0.3">
      <c r="A1" s="11" t="s">
        <v>136</v>
      </c>
      <c r="B1" s="11"/>
      <c r="C1" s="11"/>
    </row>
    <row r="2" spans="1:3" x14ac:dyDescent="0.3">
      <c r="A2" s="1" t="s">
        <v>76</v>
      </c>
      <c r="B2" s="1" t="s">
        <v>134</v>
      </c>
      <c r="C2" s="1" t="s">
        <v>135</v>
      </c>
    </row>
    <row r="3" spans="1:3" x14ac:dyDescent="0.3">
      <c r="A3" s="1" t="s">
        <v>137</v>
      </c>
      <c r="B3" s="1">
        <v>30</v>
      </c>
      <c r="C3" s="17">
        <f>B3/$B$5</f>
        <v>0.55555555555555558</v>
      </c>
    </row>
    <row r="4" spans="1:3" x14ac:dyDescent="0.3">
      <c r="A4" s="1" t="s">
        <v>138</v>
      </c>
      <c r="B4" s="1">
        <v>24</v>
      </c>
      <c r="C4" s="17">
        <f>B4/$B$5</f>
        <v>0.44444444444444442</v>
      </c>
    </row>
    <row r="5" spans="1:3" x14ac:dyDescent="0.3">
      <c r="A5" s="1" t="s">
        <v>139</v>
      </c>
      <c r="B5" s="1">
        <v>54</v>
      </c>
      <c r="C5" s="18">
        <f>C3+C4</f>
        <v>1</v>
      </c>
    </row>
    <row r="6" spans="1:3" x14ac:dyDescent="0.3">
      <c r="A6" s="1"/>
      <c r="B6" s="1"/>
      <c r="C6" s="1"/>
    </row>
    <row r="7" spans="1:3" x14ac:dyDescent="0.3">
      <c r="A7" s="11" t="s">
        <v>140</v>
      </c>
      <c r="B7" s="11"/>
      <c r="C7" s="11"/>
    </row>
    <row r="8" spans="1:3" x14ac:dyDescent="0.3">
      <c r="A8" s="1" t="s">
        <v>77</v>
      </c>
      <c r="B8" s="1" t="s">
        <v>134</v>
      </c>
      <c r="C8" s="1" t="s">
        <v>135</v>
      </c>
    </row>
    <row r="9" spans="1:3" x14ac:dyDescent="0.3">
      <c r="A9" s="1" t="s">
        <v>3</v>
      </c>
      <c r="B9" s="1">
        <v>54</v>
      </c>
      <c r="C9" s="19">
        <v>1</v>
      </c>
    </row>
    <row r="10" spans="1:3" x14ac:dyDescent="0.3">
      <c r="A10" s="1" t="s">
        <v>139</v>
      </c>
      <c r="B10" s="1">
        <v>54</v>
      </c>
      <c r="C10" s="19">
        <v>1</v>
      </c>
    </row>
    <row r="11" spans="1:3" x14ac:dyDescent="0.3">
      <c r="A11" s="1"/>
      <c r="B11" s="1"/>
      <c r="C11" s="19"/>
    </row>
    <row r="12" spans="1:3" x14ac:dyDescent="0.3">
      <c r="A12" s="11" t="s">
        <v>141</v>
      </c>
      <c r="B12" s="11"/>
      <c r="C12" s="11"/>
    </row>
    <row r="13" spans="1:3" x14ac:dyDescent="0.3">
      <c r="A13" s="1" t="s">
        <v>142</v>
      </c>
      <c r="B13" s="2" t="s">
        <v>134</v>
      </c>
      <c r="C13" s="2" t="s">
        <v>135</v>
      </c>
    </row>
    <row r="14" spans="1:3" x14ac:dyDescent="0.3">
      <c r="A14" s="1" t="s">
        <v>150</v>
      </c>
      <c r="B14" s="1">
        <v>29</v>
      </c>
      <c r="C14" s="20">
        <f>B14/$B$16</f>
        <v>0.53703703703703709</v>
      </c>
    </row>
    <row r="15" spans="1:3" x14ac:dyDescent="0.3">
      <c r="A15" s="1" t="s">
        <v>151</v>
      </c>
      <c r="B15" s="1">
        <v>25</v>
      </c>
      <c r="C15" s="20">
        <f>B15/B16</f>
        <v>0.46296296296296297</v>
      </c>
    </row>
    <row r="16" spans="1:3" x14ac:dyDescent="0.3">
      <c r="A16" s="1" t="s">
        <v>139</v>
      </c>
      <c r="B16" s="1">
        <v>54</v>
      </c>
      <c r="C16" s="20">
        <f>C14+C15</f>
        <v>1</v>
      </c>
    </row>
    <row r="17" spans="1:3" x14ac:dyDescent="0.3">
      <c r="A17" s="1"/>
      <c r="B17" s="1"/>
      <c r="C17" s="1"/>
    </row>
    <row r="18" spans="1:3" x14ac:dyDescent="0.3">
      <c r="A18" s="11" t="s">
        <v>143</v>
      </c>
      <c r="B18" s="11"/>
      <c r="C18" s="11"/>
    </row>
    <row r="19" spans="1:3" x14ac:dyDescent="0.3">
      <c r="A19" s="1" t="s">
        <v>101</v>
      </c>
      <c r="B19" s="2" t="s">
        <v>134</v>
      </c>
      <c r="C19" s="2" t="s">
        <v>135</v>
      </c>
    </row>
    <row r="20" spans="1:3" x14ac:dyDescent="0.3">
      <c r="A20" s="1" t="s">
        <v>152</v>
      </c>
      <c r="B20" s="1">
        <v>16</v>
      </c>
      <c r="C20" s="20">
        <f>B20/B22</f>
        <v>0.29629629629629628</v>
      </c>
    </row>
    <row r="21" spans="1:3" x14ac:dyDescent="0.3">
      <c r="A21" s="1" t="s">
        <v>153</v>
      </c>
      <c r="B21" s="1">
        <v>38</v>
      </c>
      <c r="C21" s="20">
        <f>B21/B22</f>
        <v>0.70370370370370372</v>
      </c>
    </row>
    <row r="22" spans="1:3" x14ac:dyDescent="0.3">
      <c r="A22" s="1" t="s">
        <v>139</v>
      </c>
      <c r="B22" s="1">
        <f>B20+B21</f>
        <v>54</v>
      </c>
      <c r="C22" s="19">
        <f>C20+C21</f>
        <v>1</v>
      </c>
    </row>
    <row r="23" spans="1:3" x14ac:dyDescent="0.3">
      <c r="A23" s="1"/>
      <c r="B23" s="1"/>
      <c r="C23" s="1"/>
    </row>
    <row r="24" spans="1:3" x14ac:dyDescent="0.3">
      <c r="A24" s="11" t="s">
        <v>144</v>
      </c>
      <c r="B24" s="11"/>
      <c r="C24" s="11"/>
    </row>
    <row r="25" spans="1:3" x14ac:dyDescent="0.3">
      <c r="A25" s="1" t="s">
        <v>83</v>
      </c>
      <c r="B25" s="2" t="s">
        <v>134</v>
      </c>
      <c r="C25" s="2" t="s">
        <v>135</v>
      </c>
    </row>
    <row r="26" spans="1:3" x14ac:dyDescent="0.3">
      <c r="A26" s="21" t="s">
        <v>14</v>
      </c>
      <c r="B26" s="22">
        <v>14</v>
      </c>
      <c r="C26" s="23">
        <f>B26/$B$30</f>
        <v>0.25925925925925924</v>
      </c>
    </row>
    <row r="27" spans="1:3" x14ac:dyDescent="0.3">
      <c r="A27" s="21" t="s">
        <v>7</v>
      </c>
      <c r="B27" s="22">
        <v>19</v>
      </c>
      <c r="C27" s="23">
        <f t="shared" ref="C27:C29" si="0">B27/$B$30</f>
        <v>0.35185185185185186</v>
      </c>
    </row>
    <row r="28" spans="1:3" x14ac:dyDescent="0.3">
      <c r="A28" s="21" t="s">
        <v>21</v>
      </c>
      <c r="B28" s="22">
        <v>10</v>
      </c>
      <c r="C28" s="23">
        <f t="shared" si="0"/>
        <v>0.18518518518518517</v>
      </c>
    </row>
    <row r="29" spans="1:3" x14ac:dyDescent="0.3">
      <c r="A29" s="21" t="s">
        <v>18</v>
      </c>
      <c r="B29" s="22">
        <v>11</v>
      </c>
      <c r="C29" s="23">
        <f t="shared" si="0"/>
        <v>0.20370370370370369</v>
      </c>
    </row>
    <row r="30" spans="1:3" x14ac:dyDescent="0.3">
      <c r="A30" s="21" t="s">
        <v>139</v>
      </c>
      <c r="B30" s="22">
        <v>54</v>
      </c>
      <c r="C30" s="19">
        <f>C26+C27+C28+C29</f>
        <v>1</v>
      </c>
    </row>
    <row r="31" spans="1:3" x14ac:dyDescent="0.3">
      <c r="A31" s="21"/>
      <c r="B31" s="22"/>
      <c r="C31" s="1"/>
    </row>
    <row r="32" spans="1:3" x14ac:dyDescent="0.3">
      <c r="A32" s="11" t="s">
        <v>145</v>
      </c>
      <c r="B32" s="11"/>
      <c r="C32" s="11"/>
    </row>
    <row r="33" spans="1:3" x14ac:dyDescent="0.3">
      <c r="A33" s="1" t="s">
        <v>106</v>
      </c>
      <c r="B33" s="2" t="s">
        <v>134</v>
      </c>
      <c r="C33" s="2" t="s">
        <v>135</v>
      </c>
    </row>
    <row r="34" spans="1:3" x14ac:dyDescent="0.3">
      <c r="A34" s="21" t="s">
        <v>11</v>
      </c>
      <c r="B34" s="22">
        <v>21</v>
      </c>
      <c r="C34" s="23">
        <f>B34/$B$36</f>
        <v>0.3888888888888889</v>
      </c>
    </row>
    <row r="35" spans="1:3" x14ac:dyDescent="0.3">
      <c r="A35" s="21" t="s">
        <v>10</v>
      </c>
      <c r="B35" s="22">
        <v>33</v>
      </c>
      <c r="C35" s="23">
        <f>B35/$B$36</f>
        <v>0.61111111111111116</v>
      </c>
    </row>
    <row r="36" spans="1:3" x14ac:dyDescent="0.3">
      <c r="A36" s="21" t="s">
        <v>139</v>
      </c>
      <c r="B36" s="2">
        <f>SUM(B34:B35)</f>
        <v>54</v>
      </c>
      <c r="C36" s="23">
        <f>SUM(C34:C35)</f>
        <v>1</v>
      </c>
    </row>
    <row r="37" spans="1:3" x14ac:dyDescent="0.3">
      <c r="A37" s="1"/>
      <c r="B37" s="1"/>
      <c r="C37" s="1"/>
    </row>
    <row r="38" spans="1:3" x14ac:dyDescent="0.3">
      <c r="A38" s="11" t="s">
        <v>146</v>
      </c>
      <c r="B38" s="11"/>
      <c r="C38" s="11"/>
    </row>
    <row r="39" spans="1:3" x14ac:dyDescent="0.3">
      <c r="A39" s="1" t="s">
        <v>107</v>
      </c>
      <c r="B39" s="2" t="s">
        <v>134</v>
      </c>
      <c r="C39" s="2" t="s">
        <v>135</v>
      </c>
    </row>
    <row r="40" spans="1:3" x14ac:dyDescent="0.3">
      <c r="A40" s="1" t="s">
        <v>154</v>
      </c>
      <c r="B40" s="2">
        <v>54</v>
      </c>
      <c r="C40" s="24">
        <v>1</v>
      </c>
    </row>
    <row r="41" spans="1:3" x14ac:dyDescent="0.3">
      <c r="A41" s="1" t="s">
        <v>139</v>
      </c>
      <c r="B41" s="2">
        <v>54</v>
      </c>
      <c r="C41" s="24">
        <v>1</v>
      </c>
    </row>
    <row r="42" spans="1:3" x14ac:dyDescent="0.3">
      <c r="A42" s="1"/>
      <c r="B42" s="1"/>
      <c r="C42" s="1"/>
    </row>
    <row r="43" spans="1:3" x14ac:dyDescent="0.3">
      <c r="A43" s="11" t="s">
        <v>147</v>
      </c>
      <c r="B43" s="11"/>
      <c r="C43" s="11"/>
    </row>
    <row r="44" spans="1:3" x14ac:dyDescent="0.3">
      <c r="A44" s="1" t="s">
        <v>109</v>
      </c>
      <c r="B44" s="2" t="s">
        <v>134</v>
      </c>
      <c r="C44" s="2" t="s">
        <v>135</v>
      </c>
    </row>
    <row r="45" spans="1:3" x14ac:dyDescent="0.3">
      <c r="A45" s="2" t="s">
        <v>154</v>
      </c>
      <c r="B45" s="1">
        <v>54</v>
      </c>
      <c r="C45" s="19">
        <v>1</v>
      </c>
    </row>
    <row r="46" spans="1:3" x14ac:dyDescent="0.3">
      <c r="A46" s="1" t="s">
        <v>139</v>
      </c>
      <c r="B46" s="1">
        <v>54</v>
      </c>
      <c r="C46" s="19">
        <v>1</v>
      </c>
    </row>
  </sheetData>
  <dataValidations count="1">
    <dataValidation type="custom" allowBlank="1" showInputMessage="1" showErrorMessage="1" sqref="F9:F11" xr:uid="{BC121F0A-1A6E-4E8B-BDAF-84F8FDC616F0}">
      <formula1>C2+C3=1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10EF-E099-46FD-9155-982DFA2DD7BA}">
  <dimension ref="A1:K31"/>
  <sheetViews>
    <sheetView workbookViewId="0">
      <selection activeCell="I24" sqref="I24"/>
    </sheetView>
  </sheetViews>
  <sheetFormatPr defaultRowHeight="14.4" x14ac:dyDescent="0.3"/>
  <cols>
    <col min="1" max="1" width="21.3984375" bestFit="1" customWidth="1"/>
    <col min="2" max="2" width="15.3984375" bestFit="1" customWidth="1"/>
    <col min="3" max="3" width="13.19921875" bestFit="1" customWidth="1"/>
    <col min="4" max="4" width="10.8984375" bestFit="1" customWidth="1"/>
    <col min="6" max="6" width="21.3984375" bestFit="1" customWidth="1"/>
    <col min="7" max="10" width="17.69921875" bestFit="1" customWidth="1"/>
    <col min="11" max="11" width="10.8984375" bestFit="1" customWidth="1"/>
  </cols>
  <sheetData>
    <row r="1" spans="1:9" x14ac:dyDescent="0.3">
      <c r="A1" s="26" t="s">
        <v>157</v>
      </c>
      <c r="B1" s="26"/>
      <c r="C1" s="26"/>
      <c r="D1" s="26"/>
      <c r="F1" s="26" t="s">
        <v>163</v>
      </c>
      <c r="G1" s="26"/>
      <c r="H1" s="26"/>
      <c r="I1" s="13"/>
    </row>
    <row r="2" spans="1:9" x14ac:dyDescent="0.3">
      <c r="A2" s="15" t="s">
        <v>156</v>
      </c>
      <c r="B2" s="15" t="s">
        <v>101</v>
      </c>
      <c r="F2" s="15" t="s">
        <v>156</v>
      </c>
      <c r="G2" s="15" t="s">
        <v>107</v>
      </c>
    </row>
    <row r="3" spans="1:9" x14ac:dyDescent="0.3">
      <c r="A3" s="15" t="s">
        <v>76</v>
      </c>
      <c r="B3" t="s">
        <v>22</v>
      </c>
      <c r="C3" t="s">
        <v>6</v>
      </c>
      <c r="D3" t="s">
        <v>149</v>
      </c>
      <c r="F3" s="15" t="s">
        <v>106</v>
      </c>
      <c r="G3" t="s">
        <v>1</v>
      </c>
      <c r="H3" t="s">
        <v>149</v>
      </c>
    </row>
    <row r="4" spans="1:9" x14ac:dyDescent="0.3">
      <c r="A4" t="s">
        <v>17</v>
      </c>
      <c r="B4" s="14">
        <v>14</v>
      </c>
      <c r="C4" s="14">
        <v>10</v>
      </c>
      <c r="D4" s="14">
        <v>24</v>
      </c>
      <c r="F4" t="s">
        <v>11</v>
      </c>
      <c r="G4" s="14">
        <v>21</v>
      </c>
      <c r="H4" s="14">
        <v>21</v>
      </c>
    </row>
    <row r="5" spans="1:9" x14ac:dyDescent="0.3">
      <c r="A5" t="s">
        <v>2</v>
      </c>
      <c r="B5" s="14">
        <v>2</v>
      </c>
      <c r="C5" s="14">
        <v>28</v>
      </c>
      <c r="D5" s="14">
        <v>30</v>
      </c>
      <c r="F5" t="s">
        <v>10</v>
      </c>
      <c r="G5" s="14">
        <v>33</v>
      </c>
      <c r="H5" s="14">
        <v>33</v>
      </c>
    </row>
    <row r="6" spans="1:9" x14ac:dyDescent="0.3">
      <c r="A6" t="s">
        <v>149</v>
      </c>
      <c r="B6" s="14">
        <v>16</v>
      </c>
      <c r="C6" s="14">
        <v>38</v>
      </c>
      <c r="D6" s="14">
        <v>54</v>
      </c>
      <c r="F6" t="s">
        <v>149</v>
      </c>
      <c r="G6" s="14">
        <v>54</v>
      </c>
      <c r="H6" s="14">
        <v>54</v>
      </c>
    </row>
    <row r="8" spans="1:9" x14ac:dyDescent="0.3">
      <c r="A8" s="26" t="s">
        <v>158</v>
      </c>
      <c r="B8" s="26"/>
      <c r="C8" s="26"/>
      <c r="D8" s="26"/>
      <c r="F8" s="26" t="s">
        <v>162</v>
      </c>
      <c r="G8" s="26"/>
      <c r="H8" s="26"/>
      <c r="I8" s="13"/>
    </row>
    <row r="9" spans="1:9" x14ac:dyDescent="0.3">
      <c r="A9" s="15" t="s">
        <v>156</v>
      </c>
      <c r="B9" s="15" t="s">
        <v>155</v>
      </c>
      <c r="F9" s="15" t="s">
        <v>156</v>
      </c>
      <c r="G9" s="15" t="s">
        <v>155</v>
      </c>
    </row>
    <row r="10" spans="1:9" x14ac:dyDescent="0.3">
      <c r="A10" s="15" t="s">
        <v>148</v>
      </c>
      <c r="B10" t="s">
        <v>22</v>
      </c>
      <c r="C10" t="s">
        <v>6</v>
      </c>
      <c r="D10" t="s">
        <v>149</v>
      </c>
      <c r="F10" s="15" t="s">
        <v>148</v>
      </c>
      <c r="G10" t="s">
        <v>1</v>
      </c>
      <c r="H10" t="s">
        <v>149</v>
      </c>
    </row>
    <row r="11" spans="1:9" x14ac:dyDescent="0.3">
      <c r="A11" s="16" t="s">
        <v>13</v>
      </c>
      <c r="B11" s="14">
        <v>2</v>
      </c>
      <c r="C11" s="14">
        <v>27</v>
      </c>
      <c r="D11" s="14">
        <v>29</v>
      </c>
      <c r="F11" s="16" t="s">
        <v>11</v>
      </c>
      <c r="G11" s="14">
        <v>21</v>
      </c>
      <c r="H11" s="14">
        <v>21</v>
      </c>
    </row>
    <row r="12" spans="1:9" x14ac:dyDescent="0.3">
      <c r="A12" s="16" t="s">
        <v>5</v>
      </c>
      <c r="B12" s="14">
        <v>14</v>
      </c>
      <c r="C12" s="14">
        <v>11</v>
      </c>
      <c r="D12" s="14">
        <v>25</v>
      </c>
      <c r="F12" s="16" t="s">
        <v>10</v>
      </c>
      <c r="G12" s="14">
        <v>33</v>
      </c>
      <c r="H12" s="14">
        <v>33</v>
      </c>
    </row>
    <row r="13" spans="1:9" x14ac:dyDescent="0.3">
      <c r="A13" s="16" t="s">
        <v>149</v>
      </c>
      <c r="B13" s="14">
        <v>16</v>
      </c>
      <c r="C13" s="14">
        <v>38</v>
      </c>
      <c r="D13" s="14">
        <v>54</v>
      </c>
      <c r="F13" s="16" t="s">
        <v>149</v>
      </c>
      <c r="G13" s="14">
        <v>54</v>
      </c>
      <c r="H13" s="14">
        <v>54</v>
      </c>
    </row>
    <row r="15" spans="1:9" x14ac:dyDescent="0.3">
      <c r="A15" s="26" t="s">
        <v>160</v>
      </c>
      <c r="B15" s="26"/>
      <c r="C15" s="26"/>
      <c r="D15" s="26"/>
      <c r="F15" s="26" t="s">
        <v>161</v>
      </c>
      <c r="G15" s="26"/>
      <c r="H15" s="26"/>
      <c r="I15" s="13"/>
    </row>
    <row r="16" spans="1:9" x14ac:dyDescent="0.3">
      <c r="A16" s="15" t="s">
        <v>156</v>
      </c>
      <c r="B16" s="15" t="s">
        <v>155</v>
      </c>
      <c r="F16" s="15" t="s">
        <v>156</v>
      </c>
      <c r="G16" s="15" t="s">
        <v>83</v>
      </c>
    </row>
    <row r="17" spans="1:11" x14ac:dyDescent="0.3">
      <c r="A17" s="15" t="s">
        <v>148</v>
      </c>
      <c r="B17" t="s">
        <v>22</v>
      </c>
      <c r="C17" t="s">
        <v>6</v>
      </c>
      <c r="D17" t="s">
        <v>149</v>
      </c>
      <c r="F17" s="15" t="s">
        <v>77</v>
      </c>
      <c r="G17" t="s">
        <v>14</v>
      </c>
      <c r="H17" t="s">
        <v>7</v>
      </c>
      <c r="I17" t="s">
        <v>21</v>
      </c>
      <c r="J17" t="s">
        <v>18</v>
      </c>
      <c r="K17" t="s">
        <v>149</v>
      </c>
    </row>
    <row r="18" spans="1:11" x14ac:dyDescent="0.3">
      <c r="A18" s="16" t="s">
        <v>14</v>
      </c>
      <c r="B18" s="14"/>
      <c r="C18" s="14">
        <v>14</v>
      </c>
      <c r="D18" s="14">
        <v>14</v>
      </c>
      <c r="F18" t="s">
        <v>3</v>
      </c>
      <c r="G18" s="14">
        <v>14</v>
      </c>
      <c r="H18" s="14">
        <v>19</v>
      </c>
      <c r="I18" s="14">
        <v>10</v>
      </c>
      <c r="J18" s="14">
        <v>11</v>
      </c>
      <c r="K18" s="14">
        <v>54</v>
      </c>
    </row>
    <row r="19" spans="1:11" x14ac:dyDescent="0.3">
      <c r="A19" s="16" t="s">
        <v>7</v>
      </c>
      <c r="B19" s="14">
        <v>15</v>
      </c>
      <c r="C19" s="14">
        <v>4</v>
      </c>
      <c r="D19" s="14">
        <v>19</v>
      </c>
      <c r="F19" t="s">
        <v>149</v>
      </c>
      <c r="G19" s="14">
        <v>14</v>
      </c>
      <c r="H19" s="14">
        <v>19</v>
      </c>
      <c r="I19" s="14">
        <v>10</v>
      </c>
      <c r="J19" s="14">
        <v>11</v>
      </c>
      <c r="K19" s="14">
        <v>54</v>
      </c>
    </row>
    <row r="20" spans="1:11" x14ac:dyDescent="0.3">
      <c r="A20" s="16" t="s">
        <v>21</v>
      </c>
      <c r="B20" s="14"/>
      <c r="C20" s="14">
        <v>10</v>
      </c>
      <c r="D20" s="14">
        <v>10</v>
      </c>
    </row>
    <row r="21" spans="1:11" x14ac:dyDescent="0.3">
      <c r="A21" s="16" t="s">
        <v>18</v>
      </c>
      <c r="B21" s="14">
        <v>1</v>
      </c>
      <c r="C21" s="14">
        <v>10</v>
      </c>
      <c r="D21" s="14">
        <v>11</v>
      </c>
    </row>
    <row r="22" spans="1:11" x14ac:dyDescent="0.3">
      <c r="A22" s="16" t="s">
        <v>149</v>
      </c>
      <c r="B22" s="14">
        <v>16</v>
      </c>
      <c r="C22" s="14">
        <v>38</v>
      </c>
      <c r="D22" s="14">
        <v>54</v>
      </c>
    </row>
    <row r="24" spans="1:11" x14ac:dyDescent="0.3">
      <c r="A24" s="26" t="s">
        <v>159</v>
      </c>
      <c r="B24" s="26"/>
      <c r="C24" s="26"/>
      <c r="D24" s="26"/>
    </row>
    <row r="25" spans="1:11" x14ac:dyDescent="0.3">
      <c r="A25" s="15" t="s">
        <v>156</v>
      </c>
      <c r="B25" s="15" t="s">
        <v>155</v>
      </c>
    </row>
    <row r="26" spans="1:11" x14ac:dyDescent="0.3">
      <c r="A26" s="15" t="s">
        <v>148</v>
      </c>
      <c r="B26" t="s">
        <v>9</v>
      </c>
      <c r="C26" t="s">
        <v>15</v>
      </c>
      <c r="D26" t="s">
        <v>149</v>
      </c>
    </row>
    <row r="27" spans="1:11" x14ac:dyDescent="0.3">
      <c r="A27" s="16" t="s">
        <v>14</v>
      </c>
      <c r="B27" s="14"/>
      <c r="C27" s="14">
        <v>14</v>
      </c>
      <c r="D27" s="14">
        <v>14</v>
      </c>
    </row>
    <row r="28" spans="1:11" x14ac:dyDescent="0.3">
      <c r="A28" s="16" t="s">
        <v>7</v>
      </c>
      <c r="B28" s="14">
        <v>14</v>
      </c>
      <c r="C28" s="14">
        <v>5</v>
      </c>
      <c r="D28" s="14">
        <v>19</v>
      </c>
    </row>
    <row r="29" spans="1:11" x14ac:dyDescent="0.3">
      <c r="A29" s="16" t="s">
        <v>21</v>
      </c>
      <c r="B29" s="14">
        <v>5</v>
      </c>
      <c r="C29" s="14">
        <v>5</v>
      </c>
      <c r="D29" s="14">
        <v>10</v>
      </c>
    </row>
    <row r="30" spans="1:11" x14ac:dyDescent="0.3">
      <c r="A30" s="16" t="s">
        <v>18</v>
      </c>
      <c r="B30" s="14">
        <v>6</v>
      </c>
      <c r="C30" s="14">
        <v>5</v>
      </c>
      <c r="D30" s="14">
        <v>11</v>
      </c>
    </row>
    <row r="31" spans="1:11" x14ac:dyDescent="0.3">
      <c r="A31" s="16" t="s">
        <v>149</v>
      </c>
      <c r="B31" s="14">
        <v>25</v>
      </c>
      <c r="C31" s="14">
        <v>29</v>
      </c>
      <c r="D31" s="14">
        <v>54</v>
      </c>
    </row>
  </sheetData>
  <mergeCells count="7">
    <mergeCell ref="A1:D1"/>
    <mergeCell ref="A8:D8"/>
    <mergeCell ref="A15:D15"/>
    <mergeCell ref="A24:D24"/>
    <mergeCell ref="F8:H8"/>
    <mergeCell ref="F15:H15"/>
    <mergeCell ref="F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C3D2-D738-4FBF-A350-8DC2DE69D25B}">
  <dimension ref="A1"/>
  <sheetViews>
    <sheetView showGridLines="0" showRowColHeaders="0" tabSelected="1" workbookViewId="0">
      <selection activeCell="A14" sqref="A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01_Cleaned_Data</vt:lpstr>
      <vt:lpstr>02_Data_Dictionary</vt:lpstr>
      <vt:lpstr>03_Data_Quality_Report</vt:lpstr>
      <vt:lpstr>04_Descriptive_Statistics</vt:lpstr>
      <vt:lpstr>05_Frequency_Tables</vt:lpstr>
      <vt:lpstr>06_Pivot_Tables</vt:lpstr>
      <vt:lpstr>07_Excel_Dashboard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umar musa isah</cp:lastModifiedBy>
  <dcterms:created xsi:type="dcterms:W3CDTF">2026-07-28T12:15:36Z</dcterms:created>
  <dcterms:modified xsi:type="dcterms:W3CDTF">2026-07-31T12:00:11Z</dcterms:modified>
</cp:coreProperties>
</file>