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ess Teck Solutions\Documents\DATA ANALYTICS FOR MICROBIOLOGIST AND OTHER HEALTH PERSONNELS 1.0\TVET_Programme_Impact_Assessment_Project\01_Raw_Data\"/>
    </mc:Choice>
  </mc:AlternateContent>
  <xr:revisionPtr revIDLastSave="0" documentId="13_ncr:1_{04CA4959-B1F3-49D9-8576-ACF92212D2FD}" xr6:coauthVersionLast="47" xr6:coauthVersionMax="47" xr10:uidLastSave="{00000000-0000-0000-0000-000000000000}"/>
  <bookViews>
    <workbookView xWindow="-100" yWindow="-100" windowWidth="21467" windowHeight="12163" activeTab="2" xr2:uid="{00000000-000D-0000-FFFF-FFFF00000000}"/>
  </bookViews>
  <sheets>
    <sheet name="TVET Programme Impact Assess..." sheetId="1" r:id="rId1"/>
    <sheet name="Commcare" sheetId="2" r:id="rId2"/>
    <sheet name="Google Form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5" i="2" l="1"/>
  <c r="E14" i="2"/>
  <c r="E13" i="2"/>
  <c r="E12" i="2"/>
  <c r="E11" i="2"/>
  <c r="E10" i="2"/>
  <c r="E9" i="2"/>
  <c r="E8" i="2"/>
  <c r="E7" i="2"/>
  <c r="E6" i="2"/>
  <c r="E5" i="2"/>
  <c r="E4" i="2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8" i="1"/>
  <c r="L9" i="1"/>
  <c r="L10" i="1"/>
  <c r="L11" i="1"/>
  <c r="L12" i="1"/>
  <c r="L7" i="1"/>
</calcChain>
</file>

<file path=xl/sharedStrings.xml><?xml version="1.0" encoding="utf-8"?>
<sst xmlns="http://schemas.openxmlformats.org/spreadsheetml/2006/main" count="3164" uniqueCount="586">
  <si>
    <t>enumerator_name</t>
  </si>
  <si>
    <t>interview_date</t>
  </si>
  <si>
    <t>respondent_id</t>
  </si>
  <si>
    <t>phone_number</t>
  </si>
  <si>
    <t>gps_location</t>
  </si>
  <si>
    <t>_gps_location_latitude</t>
  </si>
  <si>
    <t>_gps_location_longitude</t>
  </si>
  <si>
    <t>_gps_location_altitude</t>
  </si>
  <si>
    <t>_gps_location_precision</t>
  </si>
  <si>
    <t>consent_information</t>
  </si>
  <si>
    <t>consent</t>
  </si>
  <si>
    <t>age</t>
  </si>
  <si>
    <t>gender</t>
  </si>
  <si>
    <t>state</t>
  </si>
  <si>
    <t>lga</t>
  </si>
  <si>
    <t>education_level</t>
  </si>
  <si>
    <t>occupation_before</t>
  </si>
  <si>
    <t>occupation_after</t>
  </si>
  <si>
    <t>training_centre</t>
  </si>
  <si>
    <t>trade_completed</t>
  </si>
  <si>
    <t>training_duration</t>
  </si>
  <si>
    <t>source_of_awareness</t>
  </si>
  <si>
    <t>reason_for_enrolment</t>
  </si>
  <si>
    <t>admission_transparency</t>
  </si>
  <si>
    <t>communication_of_eligibility</t>
  </si>
  <si>
    <t>training_accessibility</t>
  </si>
  <si>
    <t>instructor_knowledge</t>
  </si>
  <si>
    <t>practical_sessions</t>
  </si>
  <si>
    <t>learning_materials</t>
  </si>
  <si>
    <t>training_facilities</t>
  </si>
  <si>
    <t>equipment_availability</t>
  </si>
  <si>
    <t>attendance_monitoring</t>
  </si>
  <si>
    <t>technical_competence</t>
  </si>
  <si>
    <t>practical_experience</t>
  </si>
  <si>
    <t>skill_confidence</t>
  </si>
  <si>
    <t>digital_literacy</t>
  </si>
  <si>
    <t>communication_teamwork</t>
  </si>
  <si>
    <t>employment_status</t>
  </si>
  <si>
    <t>job_related_to_training</t>
  </si>
  <si>
    <t>income_improvement</t>
  </si>
  <si>
    <t>employment_duration</t>
  </si>
  <si>
    <t>employability_rating</t>
  </si>
  <si>
    <t>overall_satisfaction</t>
  </si>
  <si>
    <t>recommend_programme</t>
  </si>
  <si>
    <t>programme_met_expectations</t>
  </si>
  <si>
    <t>future_participation</t>
  </si>
  <si>
    <t>major_challenge</t>
  </si>
  <si>
    <t>improvement_area</t>
  </si>
  <si>
    <t>additional_comments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</si>
  <si>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</si>
  <si>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</si>
  <si>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</si>
  <si>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</si>
  <si>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</si>
  <si>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</si>
  <si>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</si>
  <si>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</si>
  <si>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</si>
  <si>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meta/rootUuid</t>
  </si>
  <si>
    <t>_index</t>
  </si>
  <si>
    <t>Umar Isah</t>
  </si>
  <si>
    <t>Kano-20260725-</t>
  </si>
  <si>
    <t>08034405263</t>
  </si>
  <si>
    <t>11.612112 9.2190008 489.79931640625 8.576</t>
  </si>
  <si>
    <t>yes</t>
  </si>
  <si>
    <t>male</t>
  </si>
  <si>
    <t>Kano</t>
  </si>
  <si>
    <t>Kano_Albasu</t>
  </si>
  <si>
    <t>tertiary</t>
  </si>
  <si>
    <t>unemployed</t>
  </si>
  <si>
    <t>self_employed</t>
  </si>
  <si>
    <t>ict</t>
  </si>
  <si>
    <t>12_months</t>
  </si>
  <si>
    <t>social_media</t>
  </si>
  <si>
    <t>skills</t>
  </si>
  <si>
    <t>high</t>
  </si>
  <si>
    <t>partial</t>
  </si>
  <si>
    <t>moderate</t>
  </si>
  <si>
    <t>good</t>
  </si>
  <si>
    <t>average</t>
  </si>
  <si>
    <t>excellent</t>
  </si>
  <si>
    <t>neutral</t>
  </si>
  <si>
    <t>funding</t>
  </si>
  <si>
    <t>materials</t>
  </si>
  <si>
    <t xml:space="preserve">Providing more equipment </t>
  </si>
  <si>
    <t>79688609-8554-49b0-ba1b-e9a34aec282d</t>
  </si>
  <si>
    <t>submitted_via_web</t>
  </si>
  <si>
    <t>pressdowne1</t>
  </si>
  <si>
    <t>vvjNFFCnjd4amxSwoQvciM</t>
  </si>
  <si>
    <t>uuid:79688609-8554-49b0-ba1b-e9a34aec282d</t>
  </si>
  <si>
    <t>Yahaya Musa</t>
  </si>
  <si>
    <t>Kano-20260101-</t>
  </si>
  <si>
    <t>08039377540</t>
  </si>
  <si>
    <t>11.6120844 9.2188858 490.44116404741266 4.824</t>
  </si>
  <si>
    <t>secondary</t>
  </si>
  <si>
    <t>farmer</t>
  </si>
  <si>
    <t>carpentry</t>
  </si>
  <si>
    <t>other</t>
  </si>
  <si>
    <t>employment</t>
  </si>
  <si>
    <t>medium</t>
  </si>
  <si>
    <t>poor</t>
  </si>
  <si>
    <t>significant</t>
  </si>
  <si>
    <t>equipment</t>
  </si>
  <si>
    <t>support</t>
  </si>
  <si>
    <t xml:space="preserve">Provide more support </t>
  </si>
  <si>
    <t>38725b47-1755-4505-b138-fb4bb9153f56</t>
  </si>
  <si>
    <t>uuid:38725b47-1755-4505-b138-fb4bb9153f56</t>
  </si>
  <si>
    <t>Mujahida Sulaiman</t>
  </si>
  <si>
    <t>Kano-20260103-</t>
  </si>
  <si>
    <t>08027357266</t>
  </si>
  <si>
    <t>11.6120343 9.2189241 488.8471941635232 28.944</t>
  </si>
  <si>
    <t>female</t>
  </si>
  <si>
    <t>student</t>
  </si>
  <si>
    <t>tailoring</t>
  </si>
  <si>
    <t>6_months</t>
  </si>
  <si>
    <t>community</t>
  </si>
  <si>
    <t>income</t>
  </si>
  <si>
    <t>agree</t>
  </si>
  <si>
    <t xml:space="preserve">Provide more materials </t>
  </si>
  <si>
    <t>84912f97-9c94-4a21-b984-2599d2741239</t>
  </si>
  <si>
    <t>uuid:84912f97-9c94-4a21-b984-2599d2741239</t>
  </si>
  <si>
    <t>Anas Isah</t>
  </si>
  <si>
    <t>Kano-20260108-</t>
  </si>
  <si>
    <t>07026111811</t>
  </si>
  <si>
    <t>11.6121689 9.2190067 489.0548964064572 15.008</t>
  </si>
  <si>
    <t>plumbing</t>
  </si>
  <si>
    <t>5c8f90ae-2d60-46ff-9d92-2f6d2e28c825</t>
  </si>
  <si>
    <t>uuid:5c8f90ae-2d60-46ff-9d92-2f6d2e28c825</t>
  </si>
  <si>
    <t>Salamatu Musa</t>
  </si>
  <si>
    <t>Kano-20260102-</t>
  </si>
  <si>
    <t>09037493648</t>
  </si>
  <si>
    <t>11.6121635 9.2189782 493.1072998046875 18.76</t>
  </si>
  <si>
    <t>employed</t>
  </si>
  <si>
    <t>a1b3126b-12bc-4938-9c78-96ca48a6892f</t>
  </si>
  <si>
    <t>uuid:a1b3126b-12bc-4938-9c78-96ca48a6892f</t>
  </si>
  <si>
    <t>11.6120844 9.2188858 490.44116404741266 4.825</t>
  </si>
  <si>
    <t>11.6120844 9.2188858 490.44116404741266 4.826</t>
  </si>
  <si>
    <t>11.6120844 9.2188858 490.44116404741266 4.827</t>
  </si>
  <si>
    <t>11.6120844 9.2188858 490.44116404741266 4.828</t>
  </si>
  <si>
    <t>11.6120844 9.2188858 490.44116404741266 4.829</t>
  </si>
  <si>
    <t>11.6120844 9.2188858 490.44116404741266 4.830</t>
  </si>
  <si>
    <t>11.6120844 9.2188858 490.44116404741266 4.831</t>
  </si>
  <si>
    <t>11.6120844 9.2188858 490.44116404741266 4.832</t>
  </si>
  <si>
    <t>11.6120844 9.2188858 490.44116404741266 4.833</t>
  </si>
  <si>
    <t>11.6120844 9.2188858 490.44116404741266 4.834</t>
  </si>
  <si>
    <t>11.6120343 9.2189241 488.8471941635232 28.945</t>
  </si>
  <si>
    <t>11.6120343 9.2189241 488.8471941635232 28.946</t>
  </si>
  <si>
    <t>11.6120343 9.2189241 488.8471941635232 28.947</t>
  </si>
  <si>
    <t>11.6120343 9.2189241 488.8471941635232 28.948</t>
  </si>
  <si>
    <t>11.6120343 9.2189241 488.8471941635232 28.949</t>
  </si>
  <si>
    <t>11.6120343 9.2189241 488.8471941635232 28.950</t>
  </si>
  <si>
    <t>11.6120343 9.2189241 488.8471941635232 28.951</t>
  </si>
  <si>
    <t>11.6120343 9.2189241 488.8471941635232 28.952</t>
  </si>
  <si>
    <t>11.6120343 9.2189241 488.8471941635232 28.953</t>
  </si>
  <si>
    <t>11.6120343 9.2189241 488.8471941635232 28.954</t>
  </si>
  <si>
    <t>11.6121635 9.2189782 493.1072998046875 18.77</t>
  </si>
  <si>
    <t>11.6121635 9.2189782 493.1072998046875 18.78</t>
  </si>
  <si>
    <t>11.6121635 9.2189782 493.1072998046875 18.79</t>
  </si>
  <si>
    <t>11.6121635 9.2189782 493.1072998046875 18.80</t>
  </si>
  <si>
    <t>11.6121635 9.2189782 493.1072998046875 18.81</t>
  </si>
  <si>
    <t>11.6121635 9.2189782 493.1072998046875 18.82</t>
  </si>
  <si>
    <t>11.6121635 9.2189782 493.1072998046875 18.83</t>
  </si>
  <si>
    <t>11.6121635 9.2189782 493.1072998046875 18.84</t>
  </si>
  <si>
    <t>11.6121635 9.2189782 493.1072998046875 18.85</t>
  </si>
  <si>
    <t>11.6121635 9.2189782 493.1072998046875 18.86</t>
  </si>
  <si>
    <t>11.6121635 9.2189782 493.1072998046875 18.87</t>
  </si>
  <si>
    <t>11.6121635 9.2189782 493.1072998046875 18.88</t>
  </si>
  <si>
    <t>11.6121635 9.2189782 493.1072998046875 18.89</t>
  </si>
  <si>
    <t>11.6121689 9.2190067 489.0548964064572 15.009</t>
  </si>
  <si>
    <t>11.6121689 9.2190067 489.0548964064572 15.010</t>
  </si>
  <si>
    <t>11.6121689 9.2190067 489.0548964064572 15.011</t>
  </si>
  <si>
    <t>11.6121689 9.2190067 489.0548964064572 15.012</t>
  </si>
  <si>
    <t>11.6121689 9.2190067 489.0548964064572 15.013</t>
  </si>
  <si>
    <t>11.6121689 9.2190067 489.0548964064572 15.014</t>
  </si>
  <si>
    <t>11.6121689 9.2190067 489.0548964064572 15.015</t>
  </si>
  <si>
    <t>11.6121689 9.2190067 489.0548964064572 15.016</t>
  </si>
  <si>
    <t>11.6121689 9.2190067 489.0548964064572 15.017</t>
  </si>
  <si>
    <t>11.6121689 9.2190067 489.0548964064572 15.018</t>
  </si>
  <si>
    <t>11.6121689 9.2190067 489.0548964064572 15.019</t>
  </si>
  <si>
    <t>11.6121689 9.2190067 489.0548964064572 15.020</t>
  </si>
  <si>
    <t>11.6121689 9.2190067 489.0548964064572 15.021</t>
  </si>
  <si>
    <t>38725b47-1755-4505-b138-fb4bb9153f57</t>
  </si>
  <si>
    <t>84912f97-9c94-4a21-b984-2599d2741240</t>
  </si>
  <si>
    <t>5c8f90ae-2d60-46ff-9d92-2f6d2e28c826</t>
  </si>
  <si>
    <t>38725b47-1755-4505-b138-fb4bb9153f58</t>
  </si>
  <si>
    <t>84912f97-9c94-4a21-b984-2599d2741241</t>
  </si>
  <si>
    <t>5c8f90ae-2d60-46ff-9d92-2f6d2e28c827</t>
  </si>
  <si>
    <t>38725b47-1755-4505-b138-fb4bb9153f59</t>
  </si>
  <si>
    <t>84912f97-9c94-4a21-b984-2599d2741242</t>
  </si>
  <si>
    <t>5c8f90ae-2d60-46ff-9d92-2f6d2e28c828</t>
  </si>
  <si>
    <t>38725b47-1755-4505-b138-fb4bb9153f60</t>
  </si>
  <si>
    <t>84912f97-9c94-4a21-b984-2599d2741243</t>
  </si>
  <si>
    <t>5c8f90ae-2d60-46ff-9d92-2f6d2e28c829</t>
  </si>
  <si>
    <t>38725b47-1755-4505-b138-fb4bb9153f61</t>
  </si>
  <si>
    <t>84912f97-9c94-4a21-b984-2599d2741244</t>
  </si>
  <si>
    <t>5c8f90ae-2d60-46ff-9d92-2f6d2e28c830</t>
  </si>
  <si>
    <t>38725b47-1755-4505-b138-fb4bb9153f62</t>
  </si>
  <si>
    <t>84912f97-9c94-4a21-b984-2599d2741245</t>
  </si>
  <si>
    <t>5c8f90ae-2d60-46ff-9d92-2f6d2e28c831</t>
  </si>
  <si>
    <t>38725b47-1755-4505-b138-fb4bb9153f63</t>
  </si>
  <si>
    <t>84912f97-9c94-4a21-b984-2599d2741246</t>
  </si>
  <si>
    <t>5c8f90ae-2d60-46ff-9d92-2f6d2e28c832</t>
  </si>
  <si>
    <t>38725b47-1755-4505-b138-fb4bb9153f64</t>
  </si>
  <si>
    <t>84912f97-9c94-4a21-b984-2599d2741247</t>
  </si>
  <si>
    <t>5c8f90ae-2d60-46ff-9d92-2f6d2e28c833</t>
  </si>
  <si>
    <t>38725b47-1755-4505-b138-fb4bb9153f65</t>
  </si>
  <si>
    <t>84912f97-9c94-4a21-b984-2599d2741248</t>
  </si>
  <si>
    <t>5c8f90ae-2d60-46ff-9d92-2f6d2e28c834</t>
  </si>
  <si>
    <t>38725b47-1755-4505-b138-fb4bb9153f66</t>
  </si>
  <si>
    <t>84912f97-9c94-4a21-b984-2599d2741249</t>
  </si>
  <si>
    <t>5c8f90ae-2d60-46ff-9d92-2f6d2e28c835</t>
  </si>
  <si>
    <t>pressdowne2</t>
  </si>
  <si>
    <t>pressdowne3</t>
  </si>
  <si>
    <t>pressdowne4</t>
  </si>
  <si>
    <t>pressdowne5</t>
  </si>
  <si>
    <t>pressdowne6</t>
  </si>
  <si>
    <t>pressdowne7</t>
  </si>
  <si>
    <t>pressdowne8</t>
  </si>
  <si>
    <t>pressdowne9</t>
  </si>
  <si>
    <t>pressdowne10</t>
  </si>
  <si>
    <t>pressdowne11</t>
  </si>
  <si>
    <t>pressdowne12</t>
  </si>
  <si>
    <t>pressdowne13</t>
  </si>
  <si>
    <t>pressdowne14</t>
  </si>
  <si>
    <t>pressdowne15</t>
  </si>
  <si>
    <t>pressdowne16</t>
  </si>
  <si>
    <t>pressdowne17</t>
  </si>
  <si>
    <t>pressdowne18</t>
  </si>
  <si>
    <t>pressdowne19</t>
  </si>
  <si>
    <t>pressdowne20</t>
  </si>
  <si>
    <t>pressdowne21</t>
  </si>
  <si>
    <t>pressdowne22</t>
  </si>
  <si>
    <t>pressdowne23</t>
  </si>
  <si>
    <t>pressdowne24</t>
  </si>
  <si>
    <t>pressdowne25</t>
  </si>
  <si>
    <t>pressdowne26</t>
  </si>
  <si>
    <t>pressdowne27</t>
  </si>
  <si>
    <t>pressdowne28</t>
  </si>
  <si>
    <t>pressdowne29</t>
  </si>
  <si>
    <t>pressdowne30</t>
  </si>
  <si>
    <t>pressdowne31</t>
  </si>
  <si>
    <t>pressdowne32</t>
  </si>
  <si>
    <t>pressdowne33</t>
  </si>
  <si>
    <t>pressdowne34</t>
  </si>
  <si>
    <t>pressdowne35</t>
  </si>
  <si>
    <t>pressdowne36</t>
  </si>
  <si>
    <t>pressdowne37</t>
  </si>
  <si>
    <t>pressdowne38</t>
  </si>
  <si>
    <t>pressdowne39</t>
  </si>
  <si>
    <t>pressdowne40</t>
  </si>
  <si>
    <t>pressdowne41</t>
  </si>
  <si>
    <t>pressdowne42</t>
  </si>
  <si>
    <t>pressdowne43</t>
  </si>
  <si>
    <t>pressdowne44</t>
  </si>
  <si>
    <t>pressdowne45</t>
  </si>
  <si>
    <t>pressdowne46</t>
  </si>
  <si>
    <t>pressdowne47</t>
  </si>
  <si>
    <t>pressdowne48</t>
  </si>
  <si>
    <t>pressdowne49</t>
  </si>
  <si>
    <t>pressdowne50</t>
  </si>
  <si>
    <t>uuid:38725b47-1755-4505-b138-fb4bb9153f57</t>
  </si>
  <si>
    <t>uuid:84912f97-9c94-4a21-b984-2599d2741240</t>
  </si>
  <si>
    <t>uuid:5c8f90ae-2d60-46ff-9d92-2f6d2e28c826</t>
  </si>
  <si>
    <t>uuid:38725b47-1755-4505-b138-fb4bb9153f58</t>
  </si>
  <si>
    <t>uuid:84912f97-9c94-4a21-b984-2599d2741241</t>
  </si>
  <si>
    <t>uuid:5c8f90ae-2d60-46ff-9d92-2f6d2e28c827</t>
  </si>
  <si>
    <t>uuid:38725b47-1755-4505-b138-fb4bb9153f59</t>
  </si>
  <si>
    <t>uuid:84912f97-9c94-4a21-b984-2599d2741242</t>
  </si>
  <si>
    <t>uuid:5c8f90ae-2d60-46ff-9d92-2f6d2e28c828</t>
  </si>
  <si>
    <t>uuid:38725b47-1755-4505-b138-fb4bb9153f60</t>
  </si>
  <si>
    <t>uuid:84912f97-9c94-4a21-b984-2599d2741243</t>
  </si>
  <si>
    <t>uuid:5c8f90ae-2d60-46ff-9d92-2f6d2e28c829</t>
  </si>
  <si>
    <t>uuid:38725b47-1755-4505-b138-fb4bb9153f61</t>
  </si>
  <si>
    <t>uuid:84912f97-9c94-4a21-b984-2599d2741244</t>
  </si>
  <si>
    <t>uuid:5c8f90ae-2d60-46ff-9d92-2f6d2e28c830</t>
  </si>
  <si>
    <t>uuid:38725b47-1755-4505-b138-fb4bb9153f62</t>
  </si>
  <si>
    <t>uuid:84912f97-9c94-4a21-b984-2599d2741245</t>
  </si>
  <si>
    <t>uuid:5c8f90ae-2d60-46ff-9d92-2f6d2e28c831</t>
  </si>
  <si>
    <t>uuid:38725b47-1755-4505-b138-fb4bb9153f63</t>
  </si>
  <si>
    <t>uuid:84912f97-9c94-4a21-b984-2599d2741246</t>
  </si>
  <si>
    <t>uuid:5c8f90ae-2d60-46ff-9d92-2f6d2e28c832</t>
  </si>
  <si>
    <t>uuid:38725b47-1755-4505-b138-fb4bb9153f64</t>
  </si>
  <si>
    <t>uuid:84912f97-9c94-4a21-b984-2599d2741247</t>
  </si>
  <si>
    <t>uuid:5c8f90ae-2d60-46ff-9d92-2f6d2e28c833</t>
  </si>
  <si>
    <t>uuid:38725b47-1755-4505-b138-fb4bb9153f65</t>
  </si>
  <si>
    <t>uuid:84912f97-9c94-4a21-b984-2599d2741248</t>
  </si>
  <si>
    <t>uuid:5c8f90ae-2d60-46ff-9d92-2f6d2e28c834</t>
  </si>
  <si>
    <t>uuid:38725b47-1755-4505-b138-fb4bb9153f66</t>
  </si>
  <si>
    <t>uuid:84912f97-9c94-4a21-b984-2599d2741249</t>
  </si>
  <si>
    <t>uuid:5c8f90ae-2d60-46ff-9d92-2f6d2e28c835</t>
  </si>
  <si>
    <t>Anas Muhd</t>
  </si>
  <si>
    <t>Sunusi I Sunusi</t>
  </si>
  <si>
    <t>Hannatu haruna</t>
  </si>
  <si>
    <t>marakisiyya umar</t>
  </si>
  <si>
    <t>hassana ibrahim</t>
  </si>
  <si>
    <t>mariya sale</t>
  </si>
  <si>
    <t>amisa sabo</t>
  </si>
  <si>
    <t>zakiyya aminu</t>
  </si>
  <si>
    <t>zubaida umar</t>
  </si>
  <si>
    <t>zainab abdullahi</t>
  </si>
  <si>
    <t>hauwau kabir</t>
  </si>
  <si>
    <t>nafisa abubakar</t>
  </si>
  <si>
    <t>nabila abubakar</t>
  </si>
  <si>
    <t>sadiya bala</t>
  </si>
  <si>
    <t>badariyya bala</t>
  </si>
  <si>
    <t>habiba abubakar</t>
  </si>
  <si>
    <t>umar abdullahi</t>
  </si>
  <si>
    <t>isah abubakar</t>
  </si>
  <si>
    <t>yahaya abdullahi</t>
  </si>
  <si>
    <t>muhmmad ahmad</t>
  </si>
  <si>
    <t>anas ahmad</t>
  </si>
  <si>
    <t>manniru abdulkadir</t>
  </si>
  <si>
    <t>tanimu sani</t>
  </si>
  <si>
    <t>musa dalhatu</t>
  </si>
  <si>
    <t>jamil faruq</t>
  </si>
  <si>
    <t>abduljalil sabo</t>
  </si>
  <si>
    <t>kasimu haruna</t>
  </si>
  <si>
    <t>kamalu adamu</t>
  </si>
  <si>
    <t>muhd anas</t>
  </si>
  <si>
    <t>sadisu ali</t>
  </si>
  <si>
    <t>abbas abdullahi</t>
  </si>
  <si>
    <t>zakariyya muhd</t>
  </si>
  <si>
    <t>abdulganiyu ilyasu</t>
  </si>
  <si>
    <t>umar hussaini</t>
  </si>
  <si>
    <t>umar rabiu</t>
  </si>
  <si>
    <t>okashat usman</t>
  </si>
  <si>
    <t>safiyyat isah</t>
  </si>
  <si>
    <t>murjanatu ismail</t>
  </si>
  <si>
    <t>zainad idi</t>
  </si>
  <si>
    <t>karima umar</t>
  </si>
  <si>
    <t>aisha bala</t>
  </si>
  <si>
    <t>hauwau adamu</t>
  </si>
  <si>
    <t>amina dalhatu</t>
  </si>
  <si>
    <t>baraatu ali</t>
  </si>
  <si>
    <t>dalhatu yufus</t>
  </si>
  <si>
    <t>usman abdullahi</t>
  </si>
  <si>
    <t>abdullahi sunusi</t>
  </si>
  <si>
    <t>action lover</t>
  </si>
  <si>
    <t>christoper ali</t>
  </si>
  <si>
    <t>09034405263</t>
  </si>
  <si>
    <t>09039377540</t>
  </si>
  <si>
    <t>09027357266</t>
  </si>
  <si>
    <t>09026111811</t>
  </si>
  <si>
    <t>08037493648</t>
  </si>
  <si>
    <t>07034405263</t>
  </si>
  <si>
    <t>07039377540</t>
  </si>
  <si>
    <t>07027357266</t>
  </si>
  <si>
    <t>09126111811</t>
  </si>
  <si>
    <t>07037493648</t>
  </si>
  <si>
    <t>9134405263</t>
  </si>
  <si>
    <t>09139377540</t>
  </si>
  <si>
    <t>09127357266</t>
  </si>
  <si>
    <t>09137493648</t>
  </si>
  <si>
    <t>number</t>
  </si>
  <si>
    <t>formid</t>
  </si>
  <si>
    <t>form.enumerator_name</t>
  </si>
  <si>
    <t>form.interview_date</t>
  </si>
  <si>
    <t>form.age</t>
  </si>
  <si>
    <t>form.gps_location</t>
  </si>
  <si>
    <t>form.phone_number</t>
  </si>
  <si>
    <t>form.consent</t>
  </si>
  <si>
    <t>form.gender</t>
  </si>
  <si>
    <t>form.state</t>
  </si>
  <si>
    <t>form.tvet_center</t>
  </si>
  <si>
    <t>form.tvet_center_other</t>
  </si>
  <si>
    <t>form.source_awareness</t>
  </si>
  <si>
    <t>form.awareness_other_specify</t>
  </si>
  <si>
    <t>form.enrolment_year</t>
  </si>
  <si>
    <t>form.training_programme</t>
  </si>
  <si>
    <t>form.training_programme_other</t>
  </si>
  <si>
    <t>form.Please_Specify</t>
  </si>
  <si>
    <t>form.training_completed</t>
  </si>
  <si>
    <t>form.training_satisfaction</t>
  </si>
  <si>
    <t>form.trainer_quality</t>
  </si>
  <si>
    <t>form.training_materials</t>
  </si>
  <si>
    <t>form.practical_sessions</t>
  </si>
  <si>
    <t>form.skills_acquired</t>
  </si>
  <si>
    <t>form.skills_other_specify</t>
  </si>
  <si>
    <t>form.employment_status</t>
  </si>
  <si>
    <t>form.job_related_training</t>
  </si>
  <si>
    <t>form.employment_duration</t>
  </si>
  <si>
    <t>form.income_improvement</t>
  </si>
  <si>
    <t>form.employability_rating</t>
  </si>
  <si>
    <t>form.overall_satisfaction</t>
  </si>
  <si>
    <t>form.programme_met_expectations</t>
  </si>
  <si>
    <t>form.future_participation</t>
  </si>
  <si>
    <t>form.additional_comments</t>
  </si>
  <si>
    <t>form.major_challenges</t>
  </si>
  <si>
    <t>form.challenges_other_specify</t>
  </si>
  <si>
    <t>form.recommendations</t>
  </si>
  <si>
    <t>completed_time</t>
  </si>
  <si>
    <t>started_time</t>
  </si>
  <si>
    <t>username</t>
  </si>
  <si>
    <t>received_on</t>
  </si>
  <si>
    <t>form_link</t>
  </si>
  <si>
    <t>hq_user</t>
  </si>
  <si>
    <t>0</t>
  </si>
  <si>
    <t>52d8f20f-6a94-42c1-ad64-89971ebede62</t>
  </si>
  <si>
    <t>umar musa</t>
  </si>
  <si>
    <t>11.6122477 9.2182795 509.24 7.19</t>
  </si>
  <si>
    <t>kano</t>
  </si>
  <si>
    <t>federal_science_technical_college,_kano_–_kano_state</t>
  </si>
  <si>
    <t>---</t>
  </si>
  <si>
    <t>6_12_months</t>
  </si>
  <si>
    <t>satisfied</t>
  </si>
  <si>
    <t>fair</t>
  </si>
  <si>
    <t>partially</t>
  </si>
  <si>
    <t>technical_skills</t>
  </si>
  <si>
    <t>lt_6_months</t>
  </si>
  <si>
    <t>moderately_improved</t>
  </si>
  <si>
    <t>not_sure</t>
  </si>
  <si>
    <t>make sure every other planning and materials were set before commencing the program</t>
  </si>
  <si>
    <t>lack_of_capital</t>
  </si>
  <si>
    <t>government should improved more planning and execution please</t>
  </si>
  <si>
    <t>danmusane1</t>
  </si>
  <si>
    <t>https://www.commcarehq.org/a/press-teck-solutions/reports/form_data/52d8f20f-6a94-42c1-ad64-89971ebede62/</t>
  </si>
  <si>
    <t>1</t>
  </si>
  <si>
    <t>d7bbc3a9-1567-4cb3-ac06-ac6c392d747e</t>
  </si>
  <si>
    <t>aminu kabir</t>
  </si>
  <si>
    <t>11.6155287 9.2166886 0.0 200.0</t>
  </si>
  <si>
    <t>07078465478</t>
  </si>
  <si>
    <t>government_technical_college,_wudil_–_kano_state</t>
  </si>
  <si>
    <t>provide more equipment</t>
  </si>
  <si>
    <t>put more effort again in practical session</t>
  </si>
  <si>
    <t>https://www.commcarehq.org/a/press-teck-solutions/reports/form_data/d7bbc3a9-1567-4cb3-ac06-ac6c392d747e/</t>
  </si>
  <si>
    <t>2</t>
  </si>
  <si>
    <t>sunusi ali</t>
  </si>
  <si>
    <t>11.6122477 9.2182795 509.24 7.20</t>
  </si>
  <si>
    <t>09036437898</t>
  </si>
  <si>
    <t>danmusane2</t>
  </si>
  <si>
    <t>3</t>
  </si>
  <si>
    <t>salma umar</t>
  </si>
  <si>
    <t>11.6155287 9.2166886 0.0 200.1</t>
  </si>
  <si>
    <t>08034389079</t>
  </si>
  <si>
    <t>danmusane3</t>
  </si>
  <si>
    <t>4</t>
  </si>
  <si>
    <t>alasan aminu</t>
  </si>
  <si>
    <t>11.6122477 9.2182795 509.24 7.21</t>
  </si>
  <si>
    <t>08173688784</t>
  </si>
  <si>
    <t>danmusane4</t>
  </si>
  <si>
    <t>5</t>
  </si>
  <si>
    <t>shamsiyya ali</t>
  </si>
  <si>
    <t>11.6155287 9.2166886 0.0 200.2</t>
  </si>
  <si>
    <t>08038765898</t>
  </si>
  <si>
    <t>fashion</t>
  </si>
  <si>
    <t>danmusane5</t>
  </si>
  <si>
    <t>6</t>
  </si>
  <si>
    <t>manniru umar</t>
  </si>
  <si>
    <t>11.6122477 9.2182795 509.24 7.22</t>
  </si>
  <si>
    <t>09176466587</t>
  </si>
  <si>
    <t>danmusane6</t>
  </si>
  <si>
    <t>7</t>
  </si>
  <si>
    <t>salim ishaq</t>
  </si>
  <si>
    <t>11.6155287 9.2166886 0.0 200.3</t>
  </si>
  <si>
    <t>09126785469</t>
  </si>
  <si>
    <t>danmusane7</t>
  </si>
  <si>
    <t>8</t>
  </si>
  <si>
    <t>sulaiman isah</t>
  </si>
  <si>
    <t>11.6122477 9.2182795 509.24 7.23</t>
  </si>
  <si>
    <t>07038956879</t>
  </si>
  <si>
    <t>danmusane8</t>
  </si>
  <si>
    <t>9</t>
  </si>
  <si>
    <t>ibrahim sunusi</t>
  </si>
  <si>
    <t>11.6155287 9.2166886 0.0 200.4</t>
  </si>
  <si>
    <t>08038979467</t>
  </si>
  <si>
    <t>danmusane9</t>
  </si>
  <si>
    <t>10</t>
  </si>
  <si>
    <t>mustpha ismail</t>
  </si>
  <si>
    <t>11.6122477 9.2182795 509.24 7.24</t>
  </si>
  <si>
    <t>08178646577</t>
  </si>
  <si>
    <t>enterpreneurship</t>
  </si>
  <si>
    <t>danmusane10</t>
  </si>
  <si>
    <t>11</t>
  </si>
  <si>
    <t>muhammad hudu</t>
  </si>
  <si>
    <t>11.6155287 9.2166886 0.0 200.5</t>
  </si>
  <si>
    <t>07076746776</t>
  </si>
  <si>
    <t>danmusane11</t>
  </si>
  <si>
    <t>12</t>
  </si>
  <si>
    <t>musa idi</t>
  </si>
  <si>
    <t>11.6122477 9.2182795 509.24 7.25</t>
  </si>
  <si>
    <t>07037867578</t>
  </si>
  <si>
    <t>danmusane12</t>
  </si>
  <si>
    <t>13</t>
  </si>
  <si>
    <t>kamil uba</t>
  </si>
  <si>
    <t>11.6155287 9.2166886 0.0 200.6</t>
  </si>
  <si>
    <t>08167675746</t>
  </si>
  <si>
    <t>danmusane13</t>
  </si>
  <si>
    <t>Timestamp</t>
  </si>
  <si>
    <t>Enumerator Name</t>
  </si>
  <si>
    <t>Interview Date</t>
  </si>
  <si>
    <t>GPS Location (Latitude, Longitude)</t>
  </si>
  <si>
    <t>Phone Number</t>
  </si>
  <si>
    <t>This survey is voluntary. The information collected will be kept confidential and used only for research purposes.</t>
  </si>
  <si>
    <t>Do you voluntarily agree to participate in this interview?</t>
  </si>
  <si>
    <t>Age</t>
  </si>
  <si>
    <t>Gender</t>
  </si>
  <si>
    <t>State</t>
  </si>
  <si>
    <t>TVET Training Centre</t>
  </si>
  <si>
    <t>Please Specify TVET Centre</t>
  </si>
  <si>
    <t>How did you first hear about the TVET programme?</t>
  </si>
  <si>
    <t>Please Specify</t>
  </si>
  <si>
    <t>Year of Enrolment</t>
  </si>
  <si>
    <t>Training Programme</t>
  </si>
  <si>
    <t>Training Duration</t>
  </si>
  <si>
    <t>Did you successfully complete the training programme?</t>
  </si>
  <si>
    <t>Overall, how satisfied are you with the training?</t>
  </si>
  <si>
    <t>How would you rate the quality of the trainers?</t>
  </si>
  <si>
    <t>Were adequate learning materials provided?</t>
  </si>
  <si>
    <t>Were practical sessions sufficient?</t>
  </si>
  <si>
    <t>Which skills did you acquire during the training?</t>
  </si>
  <si>
    <t>What is your current employment status?</t>
  </si>
  <si>
    <t>Is your current job related to the TVET training you completed?</t>
  </si>
  <si>
    <t>How long have you been employed?</t>
  </si>
  <si>
    <t>Has your monthly income improved after completing the training?</t>
  </si>
  <si>
    <t>How would you rate your employability after completing the training?</t>
  </si>
  <si>
    <t>Overall, how satisfied are you with the TVET programme?</t>
  </si>
  <si>
    <t>Would you recommend this TVET programme to others?</t>
  </si>
  <si>
    <t>Did the programme meet your expectations?</t>
  </si>
  <si>
    <t>Would you participate in another TVET programme if given the opportunity?</t>
  </si>
  <si>
    <t>Please provide any additional comments or suggestions.</t>
  </si>
  <si>
    <t>What major challenges have you faced after completing the TVET programme?</t>
  </si>
  <si>
    <t>What recommendations would you give to improve future TVET programmes?</t>
  </si>
  <si>
    <t>Umar musa</t>
  </si>
  <si>
    <t>Yes</t>
  </si>
  <si>
    <t>Male</t>
  </si>
  <si>
    <t>Federal Science Technical College, Kano – Kano State</t>
  </si>
  <si>
    <t>Social Media</t>
  </si>
  <si>
    <t>ICT</t>
  </si>
  <si>
    <t>3–6 months</t>
  </si>
  <si>
    <t>Satisfied</t>
  </si>
  <si>
    <t>Good</t>
  </si>
  <si>
    <t>Partially</t>
  </si>
  <si>
    <t>Technical Skills, Business Skills, Digital Skills</t>
  </si>
  <si>
    <t>Employed</t>
  </si>
  <si>
    <t>Less than 6 months</t>
  </si>
  <si>
    <t>Moderately Improved</t>
  </si>
  <si>
    <t>Excellent</t>
  </si>
  <si>
    <t>Not Sure</t>
  </si>
  <si>
    <t>Lack of Jobs, Lack of Capital, Lack of Equipment, Inadequate Skills Practice, Market Competition</t>
  </si>
  <si>
    <t>I recommend that the planning and execution is significantly less, they should add more strategies</t>
  </si>
  <si>
    <t>Ibrahim turaki dalha</t>
  </si>
  <si>
    <t>Gagarame sabuwar unguwa fikaji</t>
  </si>
  <si>
    <t>Government Technical College, Wudil – Kano State</t>
  </si>
  <si>
    <t>Unguwar Fulani wudil</t>
  </si>
  <si>
    <t>Dubunde takai local government</t>
  </si>
  <si>
    <t>Fashion Design</t>
  </si>
  <si>
    <t>Tailoring</t>
  </si>
  <si>
    <t>More than 12 months</t>
  </si>
  <si>
    <t>Very Satisfied</t>
  </si>
  <si>
    <t>Technical Skills</t>
  </si>
  <si>
    <t>Student</t>
  </si>
  <si>
    <t>More than 2 years</t>
  </si>
  <si>
    <t>Significantly Improved</t>
  </si>
  <si>
    <t>I want give a participant</t>
  </si>
  <si>
    <t>Lack of Jobs</t>
  </si>
  <si>
    <t>Dubunde takai local government I hope</t>
  </si>
  <si>
    <t>I hope this program of TVET to continue assessment</t>
  </si>
  <si>
    <t>Yusuf Ahmad</t>
  </si>
  <si>
    <t>Nill</t>
  </si>
  <si>
    <t>Gombe</t>
  </si>
  <si>
    <t>Federal Science Technical College, Gombe – Gombe State</t>
  </si>
  <si>
    <t>Resource centre</t>
  </si>
  <si>
    <t>Electrical Installation</t>
  </si>
  <si>
    <t>No</t>
  </si>
  <si>
    <t>Fair</t>
  </si>
  <si>
    <t>Technical Skills, Entrepreneurship</t>
  </si>
  <si>
    <t>No Change</t>
  </si>
  <si>
    <t>Lack of Capital</t>
  </si>
  <si>
    <t>NASIRU YAU</t>
  </si>
  <si>
    <t>Business</t>
  </si>
  <si>
    <t>Government technical college, Wudul</t>
  </si>
  <si>
    <t>Social media</t>
  </si>
  <si>
    <t>6–12 months</t>
  </si>
  <si>
    <t>Communication</t>
  </si>
  <si>
    <t>Self-employed</t>
  </si>
  <si>
    <t>Family Responsibilities</t>
  </si>
  <si>
    <t>Lack of jobs</t>
  </si>
  <si>
    <t>Usman Adamu Ya'u</t>
  </si>
  <si>
    <t>Federal science technical college kano</t>
  </si>
  <si>
    <t>Friends/Family</t>
  </si>
  <si>
    <t>Friend</t>
  </si>
  <si>
    <t>Other</t>
  </si>
  <si>
    <t>Pharmacy field</t>
  </si>
  <si>
    <t>Less than 3 months</t>
  </si>
  <si>
    <t>ALHAMDULILLAH masha Allah may Almighty Allah reward you</t>
  </si>
  <si>
    <t>More spending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</si>
</sst>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:mm:ss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2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0">
    <xf numFmtId="0" fontId="0" fillId="0" borderId="0" xfId="0"/>
    <xf numFmtId="164" fontId="0" fillId="0" borderId="0" xfId="0" applyNumberFormat="1"/>
    <xf numFmtId="0" fontId="2" fillId="0" borderId="0" xfId="0" applyFont="1"/>
    <xf numFmtId="49" fontId="0" fillId="0" borderId="0" xfId="0" applyNumberFormat="1"/>
    <xf numFmtId="49" fontId="2" fillId="0" borderId="0" xfId="0" applyNumberFormat="1" applyFont="1"/>
    <xf numFmtId="1" fontId="0" fillId="0" borderId="0" xfId="0" applyNumberFormat="1"/>
    <xf numFmtId="165" fontId="0" fillId="0" borderId="0" xfId="0" applyNumberFormat="1"/>
    <xf numFmtId="0" fontId="3" fillId="0" borderId="0" xfId="1"/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22" fontId="5" fillId="3" borderId="4" xfId="0" applyNumberFormat="1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vertical="center" wrapText="1"/>
    </xf>
    <xf numFmtId="14" fontId="5" fillId="3" borderId="5" xfId="0" applyNumberFormat="1" applyFont="1" applyFill="1" applyBorder="1" applyAlignment="1">
      <alignment horizontal="right" vertical="center" wrapText="1"/>
    </xf>
    <xf numFmtId="0" fontId="6" fillId="3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right" vertical="center" wrapText="1"/>
    </xf>
    <xf numFmtId="0" fontId="5" fillId="3" borderId="6" xfId="0" applyFont="1" applyFill="1" applyBorder="1" applyAlignment="1">
      <alignment vertical="center" wrapText="1"/>
    </xf>
    <xf numFmtId="22" fontId="5" fillId="4" borderId="7" xfId="0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vertical="center" wrapText="1"/>
    </xf>
    <xf numFmtId="14" fontId="5" fillId="4" borderId="8" xfId="0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vertical="center" wrapText="1"/>
    </xf>
    <xf numFmtId="0" fontId="6" fillId="4" borderId="8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vertical="center" wrapText="1"/>
    </xf>
    <xf numFmtId="0" fontId="6" fillId="3" borderId="6" xfId="0" applyFont="1" applyFill="1" applyBorder="1" applyAlignment="1">
      <alignment vertical="center" wrapText="1"/>
    </xf>
    <xf numFmtId="22" fontId="5" fillId="3" borderId="9" xfId="0" applyNumberFormat="1" applyFont="1" applyFill="1" applyBorder="1" applyAlignment="1">
      <alignment horizontal="right" vertical="center" wrapText="1"/>
    </xf>
    <xf numFmtId="0" fontId="5" fillId="3" borderId="10" xfId="0" applyFont="1" applyFill="1" applyBorder="1" applyAlignment="1">
      <alignment vertical="center" wrapText="1"/>
    </xf>
    <xf numFmtId="14" fontId="5" fillId="3" borderId="10" xfId="0" applyNumberFormat="1" applyFont="1" applyFill="1" applyBorder="1" applyAlignment="1">
      <alignment horizontal="right" vertical="center" wrapText="1"/>
    </xf>
    <xf numFmtId="0" fontId="5" fillId="3" borderId="10" xfId="0" applyFont="1" applyFill="1" applyBorder="1" applyAlignment="1">
      <alignment horizontal="right" vertical="center" wrapText="1"/>
    </xf>
    <xf numFmtId="0" fontId="6" fillId="3" borderId="10" xfId="0" applyFont="1" applyFill="1" applyBorder="1" applyAlignment="1">
      <alignment vertical="center" wrapText="1"/>
    </xf>
    <xf numFmtId="0" fontId="5" fillId="3" borderId="11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mmcarehq.org/a/press-teck-solutions/reports/form_data/52d8f20f-6a94-42c1-ad64-89971ebede62/" TargetMode="External"/><Relationship Id="rId13" Type="http://schemas.openxmlformats.org/officeDocument/2006/relationships/hyperlink" Target="https://www.commcarehq.org/a/press-teck-solutions/reports/form_data/d7bbc3a9-1567-4cb3-ac06-ac6c392d747e/" TargetMode="External"/><Relationship Id="rId3" Type="http://schemas.openxmlformats.org/officeDocument/2006/relationships/hyperlink" Target="https://www.commcarehq.org/a/press-teck-solutions/reports/form_data/52d8f20f-6a94-42c1-ad64-89971ebede62/" TargetMode="External"/><Relationship Id="rId7" Type="http://schemas.openxmlformats.org/officeDocument/2006/relationships/hyperlink" Target="https://www.commcarehq.org/a/press-teck-solutions/reports/form_data/52d8f20f-6a94-42c1-ad64-89971ebede62/" TargetMode="External"/><Relationship Id="rId12" Type="http://schemas.openxmlformats.org/officeDocument/2006/relationships/hyperlink" Target="https://www.commcarehq.org/a/press-teck-solutions/reports/form_data/d7bbc3a9-1567-4cb3-ac06-ac6c392d747e/" TargetMode="External"/><Relationship Id="rId2" Type="http://schemas.openxmlformats.org/officeDocument/2006/relationships/hyperlink" Target="https://www.commcarehq.org/a/press-teck-solutions/reports/form_data/d7bbc3a9-1567-4cb3-ac06-ac6c392d747e/" TargetMode="External"/><Relationship Id="rId1" Type="http://schemas.openxmlformats.org/officeDocument/2006/relationships/hyperlink" Target="https://www.commcarehq.org/a/press-teck-solutions/reports/form_data/52d8f20f-6a94-42c1-ad64-89971ebede62/" TargetMode="External"/><Relationship Id="rId6" Type="http://schemas.openxmlformats.org/officeDocument/2006/relationships/hyperlink" Target="https://www.commcarehq.org/a/press-teck-solutions/reports/form_data/52d8f20f-6a94-42c1-ad64-89971ebede62/" TargetMode="External"/><Relationship Id="rId11" Type="http://schemas.openxmlformats.org/officeDocument/2006/relationships/hyperlink" Target="https://www.commcarehq.org/a/press-teck-solutions/reports/form_data/d7bbc3a9-1567-4cb3-ac06-ac6c392d747e/" TargetMode="External"/><Relationship Id="rId5" Type="http://schemas.openxmlformats.org/officeDocument/2006/relationships/hyperlink" Target="https://www.commcarehq.org/a/press-teck-solutions/reports/form_data/52d8f20f-6a94-42c1-ad64-89971ebede62/" TargetMode="External"/><Relationship Id="rId10" Type="http://schemas.openxmlformats.org/officeDocument/2006/relationships/hyperlink" Target="https://www.commcarehq.org/a/press-teck-solutions/reports/form_data/d7bbc3a9-1567-4cb3-ac06-ac6c392d747e/" TargetMode="External"/><Relationship Id="rId4" Type="http://schemas.openxmlformats.org/officeDocument/2006/relationships/hyperlink" Target="https://www.commcarehq.org/a/press-teck-solutions/reports/form_data/52d8f20f-6a94-42c1-ad64-89971ebede62/" TargetMode="External"/><Relationship Id="rId9" Type="http://schemas.openxmlformats.org/officeDocument/2006/relationships/hyperlink" Target="https://www.commcarehq.org/a/press-teck-solutions/reports/form_data/d7bbc3a9-1567-4cb3-ac06-ac6c392d747e/" TargetMode="External"/><Relationship Id="rId14" Type="http://schemas.openxmlformats.org/officeDocument/2006/relationships/hyperlink" Target="https://www.commcarehq.org/a/press-teck-solutions/reports/form_data/d7bbc3a9-1567-4cb3-ac06-ac6c392d747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55"/>
  <sheetViews>
    <sheetView topLeftCell="AY1" workbookViewId="0">
      <selection activeCell="B2" sqref="B2"/>
    </sheetView>
  </sheetViews>
  <sheetFormatPr defaultRowHeight="14.4" x14ac:dyDescent="0.3"/>
  <cols>
    <col min="1" max="1" width="17.296875" bestFit="1" customWidth="1"/>
    <col min="2" max="2" width="13.59765625" bestFit="1" customWidth="1"/>
    <col min="3" max="3" width="22.09765625" customWidth="1"/>
    <col min="4" max="4" width="14" bestFit="1" customWidth="1"/>
    <col min="5" max="5" width="43.19921875" bestFit="1" customWidth="1"/>
    <col min="6" max="6" width="20.296875" bestFit="1" customWidth="1"/>
    <col min="7" max="7" width="21.796875" bestFit="1" customWidth="1"/>
    <col min="8" max="8" width="20.296875" bestFit="1" customWidth="1"/>
    <col min="9" max="9" width="21.3984375" bestFit="1" customWidth="1"/>
    <col min="10" max="10" width="18.69921875" bestFit="1" customWidth="1"/>
    <col min="11" max="11" width="7.5" bestFit="1" customWidth="1"/>
    <col min="12" max="12" width="6.296875" customWidth="1"/>
    <col min="15" max="15" width="11.796875" bestFit="1" customWidth="1"/>
    <col min="16" max="16" width="14.296875" bestFit="1" customWidth="1"/>
    <col min="17" max="17" width="16.796875" bestFit="1" customWidth="1"/>
    <col min="18" max="18" width="15.296875" bestFit="1" customWidth="1"/>
    <col min="19" max="19" width="13.796875" bestFit="1" customWidth="1"/>
    <col min="20" max="20" width="15.3984375" bestFit="1" customWidth="1"/>
    <col min="21" max="21" width="15.796875" bestFit="1" customWidth="1"/>
    <col min="22" max="22" width="19.09765625" bestFit="1" customWidth="1"/>
    <col min="23" max="23" width="20" bestFit="1" customWidth="1"/>
    <col min="24" max="24" width="21.59765625" bestFit="1" customWidth="1"/>
    <col min="25" max="25" width="25.59765625" bestFit="1" customWidth="1"/>
    <col min="26" max="26" width="18.5" bestFit="1" customWidth="1"/>
    <col min="27" max="27" width="19.296875" bestFit="1" customWidth="1"/>
    <col min="28" max="28" width="16" bestFit="1" customWidth="1"/>
    <col min="29" max="29" width="16.59765625" bestFit="1" customWidth="1"/>
    <col min="30" max="30" width="15.3984375" bestFit="1" customWidth="1"/>
    <col min="31" max="31" width="20.3984375" bestFit="1" customWidth="1"/>
    <col min="32" max="32" width="20.8984375" bestFit="1" customWidth="1"/>
    <col min="33" max="33" width="19.796875" bestFit="1" customWidth="1"/>
    <col min="34" max="34" width="18.296875" bestFit="1" customWidth="1"/>
    <col min="35" max="35" width="14.296875" bestFit="1" customWidth="1"/>
    <col min="36" max="36" width="13.296875" bestFit="1" customWidth="1"/>
    <col min="37" max="37" width="23.59765625" bestFit="1" customWidth="1"/>
    <col min="38" max="38" width="17.796875" bestFit="1" customWidth="1"/>
    <col min="39" max="39" width="21.19921875" bestFit="1" customWidth="1"/>
    <col min="40" max="40" width="19.5" bestFit="1" customWidth="1"/>
    <col min="41" max="41" width="20" bestFit="1" customWidth="1"/>
    <col min="42" max="42" width="18.3984375" bestFit="1" customWidth="1"/>
    <col min="43" max="43" width="17.3984375" bestFit="1" customWidth="1"/>
    <col min="44" max="44" width="21.8984375" bestFit="1" customWidth="1"/>
    <col min="45" max="45" width="27" bestFit="1" customWidth="1"/>
    <col min="46" max="46" width="18.09765625" bestFit="1" customWidth="1"/>
    <col min="47" max="47" width="14.796875" bestFit="1" customWidth="1"/>
    <col min="48" max="48" width="17.09765625" bestFit="1" customWidth="1"/>
    <col min="49" max="49" width="24.09765625" bestFit="1" customWidth="1"/>
    <col min="50" max="50" width="13.69921875" customWidth="1"/>
    <col min="51" max="51" width="36.09765625" bestFit="1" customWidth="1"/>
    <col min="52" max="52" width="16.19921875" bestFit="1" customWidth="1"/>
    <col min="53" max="53" width="16.5" bestFit="1" customWidth="1"/>
    <col min="54" max="54" width="6.59765625" bestFit="1" customWidth="1"/>
    <col min="55" max="55" width="17.59765625" bestFit="1" customWidth="1"/>
    <col min="56" max="56" width="13.59765625" bestFit="1" customWidth="1"/>
    <col min="57" max="57" width="23.5" bestFit="1" customWidth="1"/>
    <col min="59" max="59" width="40.5" bestFit="1" customWidth="1"/>
  </cols>
  <sheetData>
    <row r="1" spans="1:6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3">
      <c r="A2" t="s">
        <v>60</v>
      </c>
      <c r="B2" s="1">
        <v>46228</v>
      </c>
      <c r="C2" t="s">
        <v>61</v>
      </c>
      <c r="D2" s="3" t="s">
        <v>339</v>
      </c>
      <c r="E2" t="s">
        <v>63</v>
      </c>
      <c r="F2">
        <v>11.612112</v>
      </c>
      <c r="G2">
        <v>9.2190007999999999</v>
      </c>
      <c r="H2">
        <v>489.79931640625</v>
      </c>
      <c r="I2">
        <v>8.5760000000000005</v>
      </c>
      <c r="K2" t="s">
        <v>64</v>
      </c>
      <c r="L2">
        <v>30</v>
      </c>
      <c r="M2" t="s">
        <v>65</v>
      </c>
      <c r="N2" t="s">
        <v>66</v>
      </c>
      <c r="O2" t="s">
        <v>67</v>
      </c>
      <c r="P2" t="s">
        <v>68</v>
      </c>
      <c r="Q2" t="s">
        <v>69</v>
      </c>
      <c r="R2" t="s">
        <v>70</v>
      </c>
      <c r="S2">
        <v>1</v>
      </c>
      <c r="T2" t="s">
        <v>71</v>
      </c>
      <c r="U2" t="s">
        <v>72</v>
      </c>
      <c r="V2" t="s">
        <v>73</v>
      </c>
      <c r="W2" t="s">
        <v>74</v>
      </c>
      <c r="X2" t="s">
        <v>75</v>
      </c>
      <c r="Y2" t="s">
        <v>76</v>
      </c>
      <c r="Z2" t="s">
        <v>77</v>
      </c>
      <c r="AA2" t="s">
        <v>78</v>
      </c>
      <c r="AB2" t="s">
        <v>78</v>
      </c>
      <c r="AC2" t="s">
        <v>79</v>
      </c>
      <c r="AD2" t="s">
        <v>78</v>
      </c>
      <c r="AE2" t="s">
        <v>79</v>
      </c>
      <c r="AF2" t="s">
        <v>78</v>
      </c>
      <c r="AG2" t="s">
        <v>78</v>
      </c>
      <c r="AH2" t="s">
        <v>80</v>
      </c>
      <c r="AI2" t="s">
        <v>78</v>
      </c>
      <c r="AJ2" t="s">
        <v>80</v>
      </c>
      <c r="AK2" t="s">
        <v>78</v>
      </c>
      <c r="AL2" t="s">
        <v>70</v>
      </c>
      <c r="AM2" t="s">
        <v>64</v>
      </c>
      <c r="AN2" t="s">
        <v>77</v>
      </c>
      <c r="AO2">
        <v>12</v>
      </c>
      <c r="AP2" s="2" t="s">
        <v>78</v>
      </c>
      <c r="AQ2" t="s">
        <v>78</v>
      </c>
      <c r="AR2" t="s">
        <v>64</v>
      </c>
      <c r="AS2" t="s">
        <v>81</v>
      </c>
      <c r="AT2" t="s">
        <v>64</v>
      </c>
      <c r="AU2" t="s">
        <v>82</v>
      </c>
      <c r="AV2" t="s">
        <v>83</v>
      </c>
      <c r="AW2" t="s">
        <v>84</v>
      </c>
      <c r="AX2">
        <v>821624056</v>
      </c>
      <c r="AY2" t="s">
        <v>85</v>
      </c>
      <c r="AZ2" s="1">
        <v>46228.86922453704</v>
      </c>
      <c r="BC2" t="s">
        <v>86</v>
      </c>
      <c r="BD2" t="s">
        <v>87</v>
      </c>
      <c r="BE2" t="s">
        <v>88</v>
      </c>
      <c r="BG2" t="s">
        <v>89</v>
      </c>
      <c r="BH2">
        <v>1</v>
      </c>
    </row>
    <row r="3" spans="1:60" x14ac:dyDescent="0.3">
      <c r="A3" t="s">
        <v>90</v>
      </c>
      <c r="B3" s="1">
        <v>46023</v>
      </c>
      <c r="C3" t="s">
        <v>91</v>
      </c>
      <c r="D3" s="3" t="s">
        <v>340</v>
      </c>
      <c r="E3" t="s">
        <v>93</v>
      </c>
      <c r="F3">
        <v>11.612084400000001</v>
      </c>
      <c r="G3">
        <v>9.2188858000000007</v>
      </c>
      <c r="H3">
        <v>490.44116404741271</v>
      </c>
      <c r="I3">
        <v>4.8239999999999998</v>
      </c>
      <c r="K3" t="s">
        <v>64</v>
      </c>
      <c r="L3">
        <v>35</v>
      </c>
      <c r="M3" t="s">
        <v>65</v>
      </c>
      <c r="N3" t="s">
        <v>66</v>
      </c>
      <c r="O3" t="s">
        <v>67</v>
      </c>
      <c r="P3" t="s">
        <v>94</v>
      </c>
      <c r="Q3" t="s">
        <v>95</v>
      </c>
      <c r="R3" t="s">
        <v>70</v>
      </c>
      <c r="S3">
        <v>1</v>
      </c>
      <c r="T3" t="s">
        <v>96</v>
      </c>
      <c r="U3" t="s">
        <v>72</v>
      </c>
      <c r="V3" t="s">
        <v>97</v>
      </c>
      <c r="W3" t="s">
        <v>98</v>
      </c>
      <c r="X3" t="s">
        <v>99</v>
      </c>
      <c r="Y3" t="s">
        <v>76</v>
      </c>
      <c r="Z3" t="s">
        <v>77</v>
      </c>
      <c r="AA3" t="s">
        <v>79</v>
      </c>
      <c r="AB3" t="s">
        <v>78</v>
      </c>
      <c r="AC3" t="s">
        <v>79</v>
      </c>
      <c r="AD3" t="s">
        <v>100</v>
      </c>
      <c r="AE3" t="s">
        <v>79</v>
      </c>
      <c r="AF3" t="s">
        <v>78</v>
      </c>
      <c r="AG3" t="s">
        <v>79</v>
      </c>
      <c r="AH3" t="s">
        <v>78</v>
      </c>
      <c r="AI3" t="s">
        <v>79</v>
      </c>
      <c r="AJ3" t="s">
        <v>78</v>
      </c>
      <c r="AK3" t="s">
        <v>80</v>
      </c>
      <c r="AL3" t="s">
        <v>70</v>
      </c>
      <c r="AM3" t="s">
        <v>64</v>
      </c>
      <c r="AN3" t="s">
        <v>101</v>
      </c>
      <c r="AO3">
        <v>12</v>
      </c>
      <c r="AP3" s="2" t="s">
        <v>78</v>
      </c>
      <c r="AQ3" t="s">
        <v>78</v>
      </c>
      <c r="AR3" t="s">
        <v>64</v>
      </c>
      <c r="AS3" t="s">
        <v>81</v>
      </c>
      <c r="AT3" t="s">
        <v>64</v>
      </c>
      <c r="AU3" t="s">
        <v>102</v>
      </c>
      <c r="AV3" t="s">
        <v>103</v>
      </c>
      <c r="AW3" t="s">
        <v>104</v>
      </c>
      <c r="AX3">
        <v>821624059</v>
      </c>
      <c r="AY3" t="s">
        <v>105</v>
      </c>
      <c r="AZ3" s="1">
        <v>46228.86923611111</v>
      </c>
      <c r="BC3" t="s">
        <v>86</v>
      </c>
      <c r="BD3" t="s">
        <v>87</v>
      </c>
      <c r="BE3" t="s">
        <v>88</v>
      </c>
      <c r="BG3" t="s">
        <v>106</v>
      </c>
      <c r="BH3">
        <v>2</v>
      </c>
    </row>
    <row r="4" spans="1:60" x14ac:dyDescent="0.3">
      <c r="A4" t="s">
        <v>107</v>
      </c>
      <c r="B4" s="1">
        <v>46025</v>
      </c>
      <c r="C4" t="s">
        <v>108</v>
      </c>
      <c r="D4" s="3" t="s">
        <v>341</v>
      </c>
      <c r="E4" t="s">
        <v>110</v>
      </c>
      <c r="F4">
        <v>11.612034299999999</v>
      </c>
      <c r="G4">
        <v>9.2189241000000006</v>
      </c>
      <c r="H4">
        <v>488.84719416352323</v>
      </c>
      <c r="I4">
        <v>28.943999999999999</v>
      </c>
      <c r="K4" t="s">
        <v>64</v>
      </c>
      <c r="L4">
        <v>22</v>
      </c>
      <c r="M4" t="s">
        <v>111</v>
      </c>
      <c r="N4" t="s">
        <v>66</v>
      </c>
      <c r="O4" t="s">
        <v>67</v>
      </c>
      <c r="P4" t="s">
        <v>94</v>
      </c>
      <c r="Q4" t="s">
        <v>112</v>
      </c>
      <c r="R4" t="s">
        <v>70</v>
      </c>
      <c r="S4">
        <v>1</v>
      </c>
      <c r="T4" t="s">
        <v>113</v>
      </c>
      <c r="U4" t="s">
        <v>114</v>
      </c>
      <c r="V4" t="s">
        <v>115</v>
      </c>
      <c r="W4" t="s">
        <v>116</v>
      </c>
      <c r="X4" t="s">
        <v>99</v>
      </c>
      <c r="Y4" t="s">
        <v>76</v>
      </c>
      <c r="Z4" t="s">
        <v>77</v>
      </c>
      <c r="AA4" t="s">
        <v>78</v>
      </c>
      <c r="AB4" t="s">
        <v>78</v>
      </c>
      <c r="AC4" t="s">
        <v>79</v>
      </c>
      <c r="AD4" t="s">
        <v>78</v>
      </c>
      <c r="AE4" t="s">
        <v>78</v>
      </c>
      <c r="AF4" t="s">
        <v>79</v>
      </c>
      <c r="AG4" t="s">
        <v>78</v>
      </c>
      <c r="AH4" t="s">
        <v>78</v>
      </c>
      <c r="AI4" t="s">
        <v>80</v>
      </c>
      <c r="AJ4" t="s">
        <v>79</v>
      </c>
      <c r="AK4" t="s">
        <v>78</v>
      </c>
      <c r="AL4" t="s">
        <v>70</v>
      </c>
      <c r="AM4" t="s">
        <v>64</v>
      </c>
      <c r="AN4" t="s">
        <v>101</v>
      </c>
      <c r="AO4">
        <v>12</v>
      </c>
      <c r="AP4" s="2" t="s">
        <v>78</v>
      </c>
      <c r="AQ4" t="s">
        <v>80</v>
      </c>
      <c r="AR4" t="s">
        <v>64</v>
      </c>
      <c r="AS4" t="s">
        <v>117</v>
      </c>
      <c r="AT4" t="s">
        <v>64</v>
      </c>
      <c r="AU4" t="s">
        <v>102</v>
      </c>
      <c r="AV4" t="s">
        <v>83</v>
      </c>
      <c r="AW4" t="s">
        <v>118</v>
      </c>
      <c r="AX4">
        <v>821627036</v>
      </c>
      <c r="AY4" t="s">
        <v>119</v>
      </c>
      <c r="AZ4" s="1">
        <v>46228.875439814823</v>
      </c>
      <c r="BC4" t="s">
        <v>86</v>
      </c>
      <c r="BD4" t="s">
        <v>87</v>
      </c>
      <c r="BE4" t="s">
        <v>88</v>
      </c>
      <c r="BG4" t="s">
        <v>120</v>
      </c>
      <c r="BH4">
        <v>3</v>
      </c>
    </row>
    <row r="5" spans="1:60" x14ac:dyDescent="0.3">
      <c r="A5" t="s">
        <v>121</v>
      </c>
      <c r="B5" s="1">
        <v>46030</v>
      </c>
      <c r="C5" t="s">
        <v>122</v>
      </c>
      <c r="D5" s="3" t="s">
        <v>342</v>
      </c>
      <c r="E5" t="s">
        <v>124</v>
      </c>
      <c r="F5">
        <v>11.6121689</v>
      </c>
      <c r="G5">
        <v>9.2190066999999996</v>
      </c>
      <c r="H5">
        <v>489.0548964064572</v>
      </c>
      <c r="I5">
        <v>15.007999999999999</v>
      </c>
      <c r="K5" t="s">
        <v>64</v>
      </c>
      <c r="L5">
        <v>25</v>
      </c>
      <c r="M5" t="s">
        <v>65</v>
      </c>
      <c r="N5" t="s">
        <v>66</v>
      </c>
      <c r="O5" t="s">
        <v>67</v>
      </c>
      <c r="P5" t="s">
        <v>94</v>
      </c>
      <c r="Q5" t="s">
        <v>112</v>
      </c>
      <c r="R5" t="s">
        <v>70</v>
      </c>
      <c r="S5">
        <v>2</v>
      </c>
      <c r="T5" t="s">
        <v>125</v>
      </c>
      <c r="U5" t="s">
        <v>72</v>
      </c>
      <c r="V5" t="s">
        <v>73</v>
      </c>
      <c r="W5" t="s">
        <v>98</v>
      </c>
      <c r="X5" t="s">
        <v>99</v>
      </c>
      <c r="Y5" t="s">
        <v>76</v>
      </c>
      <c r="Z5" t="s">
        <v>77</v>
      </c>
      <c r="AA5" t="s">
        <v>78</v>
      </c>
      <c r="AB5" t="s">
        <v>79</v>
      </c>
      <c r="AC5" t="s">
        <v>78</v>
      </c>
      <c r="AD5" t="s">
        <v>78</v>
      </c>
      <c r="AE5" t="s">
        <v>78</v>
      </c>
      <c r="AF5" t="s">
        <v>79</v>
      </c>
      <c r="AG5" t="s">
        <v>80</v>
      </c>
      <c r="AH5" t="s">
        <v>78</v>
      </c>
      <c r="AI5" t="s">
        <v>78</v>
      </c>
      <c r="AJ5" t="s">
        <v>80</v>
      </c>
      <c r="AK5" t="s">
        <v>78</v>
      </c>
      <c r="AL5" t="s">
        <v>70</v>
      </c>
      <c r="AM5" t="s">
        <v>64</v>
      </c>
      <c r="AN5" t="s">
        <v>77</v>
      </c>
      <c r="AO5">
        <v>12</v>
      </c>
      <c r="AP5" s="2" t="s">
        <v>78</v>
      </c>
      <c r="AQ5" t="s">
        <v>78</v>
      </c>
      <c r="AR5" t="s">
        <v>64</v>
      </c>
      <c r="AS5" t="s">
        <v>117</v>
      </c>
      <c r="AT5" t="s">
        <v>64</v>
      </c>
      <c r="AU5" t="s">
        <v>102</v>
      </c>
      <c r="AV5" t="s">
        <v>83</v>
      </c>
      <c r="AW5" t="s">
        <v>118</v>
      </c>
      <c r="AX5">
        <v>821627040</v>
      </c>
      <c r="AY5" t="s">
        <v>126</v>
      </c>
      <c r="AZ5" s="1">
        <v>46228.875451388893</v>
      </c>
      <c r="BC5" t="s">
        <v>86</v>
      </c>
      <c r="BD5" t="s">
        <v>87</v>
      </c>
      <c r="BE5" t="s">
        <v>88</v>
      </c>
      <c r="BG5" t="s">
        <v>127</v>
      </c>
      <c r="BH5">
        <v>4</v>
      </c>
    </row>
    <row r="6" spans="1:60" x14ac:dyDescent="0.3">
      <c r="A6" t="s">
        <v>128</v>
      </c>
      <c r="B6" s="1">
        <v>46024</v>
      </c>
      <c r="C6" t="s">
        <v>129</v>
      </c>
      <c r="D6" s="3" t="s">
        <v>343</v>
      </c>
      <c r="E6" t="s">
        <v>131</v>
      </c>
      <c r="F6">
        <v>11.612163499999999</v>
      </c>
      <c r="G6">
        <v>9.2189782000000005</v>
      </c>
      <c r="H6">
        <v>493.1072998046875</v>
      </c>
      <c r="I6">
        <v>18.760000000000002</v>
      </c>
      <c r="K6" t="s">
        <v>64</v>
      </c>
      <c r="L6">
        <v>33</v>
      </c>
      <c r="M6" t="s">
        <v>111</v>
      </c>
      <c r="N6" t="s">
        <v>66</v>
      </c>
      <c r="O6" t="s">
        <v>67</v>
      </c>
      <c r="P6" t="s">
        <v>68</v>
      </c>
      <c r="Q6" t="s">
        <v>69</v>
      </c>
      <c r="R6" t="s">
        <v>70</v>
      </c>
      <c r="S6">
        <v>2</v>
      </c>
      <c r="T6" t="s">
        <v>113</v>
      </c>
      <c r="U6" t="s">
        <v>72</v>
      </c>
      <c r="V6" t="s">
        <v>115</v>
      </c>
      <c r="W6" t="s">
        <v>116</v>
      </c>
      <c r="X6" t="s">
        <v>75</v>
      </c>
      <c r="Y6" t="s">
        <v>76</v>
      </c>
      <c r="Z6" t="s">
        <v>77</v>
      </c>
      <c r="AA6" t="s">
        <v>78</v>
      </c>
      <c r="AB6" t="s">
        <v>79</v>
      </c>
      <c r="AC6" t="s">
        <v>80</v>
      </c>
      <c r="AD6" t="s">
        <v>79</v>
      </c>
      <c r="AE6" t="s">
        <v>80</v>
      </c>
      <c r="AF6" t="s">
        <v>78</v>
      </c>
      <c r="AG6" t="s">
        <v>79</v>
      </c>
      <c r="AH6" t="s">
        <v>78</v>
      </c>
      <c r="AI6" t="s">
        <v>80</v>
      </c>
      <c r="AJ6" t="s">
        <v>79</v>
      </c>
      <c r="AK6" t="s">
        <v>78</v>
      </c>
      <c r="AL6" t="s">
        <v>132</v>
      </c>
      <c r="AM6" t="s">
        <v>64</v>
      </c>
      <c r="AN6" t="s">
        <v>77</v>
      </c>
      <c r="AO6">
        <v>12</v>
      </c>
      <c r="AP6" s="2" t="s">
        <v>78</v>
      </c>
      <c r="AQ6" t="s">
        <v>80</v>
      </c>
      <c r="AR6" t="s">
        <v>64</v>
      </c>
      <c r="AS6" t="s">
        <v>117</v>
      </c>
      <c r="AT6" t="s">
        <v>64</v>
      </c>
      <c r="AU6" t="s">
        <v>102</v>
      </c>
      <c r="AV6" t="s">
        <v>83</v>
      </c>
      <c r="AW6" t="s">
        <v>118</v>
      </c>
      <c r="AX6">
        <v>821628078</v>
      </c>
      <c r="AY6" t="s">
        <v>133</v>
      </c>
      <c r="AZ6" s="1">
        <v>46228.877685185187</v>
      </c>
      <c r="BC6" t="s">
        <v>86</v>
      </c>
      <c r="BD6" t="s">
        <v>87</v>
      </c>
      <c r="BE6" t="s">
        <v>88</v>
      </c>
      <c r="BG6" t="s">
        <v>134</v>
      </c>
      <c r="BH6">
        <v>5</v>
      </c>
    </row>
    <row r="7" spans="1:60" x14ac:dyDescent="0.3">
      <c r="A7" t="s">
        <v>290</v>
      </c>
      <c r="B7" s="1">
        <v>46228</v>
      </c>
      <c r="C7" t="s">
        <v>129</v>
      </c>
      <c r="D7" t="s">
        <v>62</v>
      </c>
      <c r="E7" t="s">
        <v>155</v>
      </c>
      <c r="F7">
        <v>11.612163499999999</v>
      </c>
      <c r="G7">
        <v>9.2189782000000005</v>
      </c>
      <c r="H7">
        <v>493.1072998046875</v>
      </c>
      <c r="I7">
        <v>18.760000000000002</v>
      </c>
      <c r="K7" t="s">
        <v>64</v>
      </c>
      <c r="L7">
        <f ca="1">RANDBETWEEN(20,50)</f>
        <v>22</v>
      </c>
      <c r="M7" t="s">
        <v>65</v>
      </c>
      <c r="N7" t="s">
        <v>66</v>
      </c>
      <c r="O7" t="s">
        <v>67</v>
      </c>
      <c r="P7" t="s">
        <v>68</v>
      </c>
      <c r="Q7" t="s">
        <v>112</v>
      </c>
      <c r="R7" t="s">
        <v>70</v>
      </c>
      <c r="S7">
        <v>2</v>
      </c>
      <c r="T7" t="s">
        <v>71</v>
      </c>
      <c r="U7" t="s">
        <v>72</v>
      </c>
      <c r="V7" t="s">
        <v>115</v>
      </c>
      <c r="W7" t="s">
        <v>74</v>
      </c>
      <c r="X7" t="s">
        <v>75</v>
      </c>
      <c r="Y7" t="s">
        <v>76</v>
      </c>
      <c r="Z7" t="s">
        <v>77</v>
      </c>
      <c r="AA7" t="s">
        <v>78</v>
      </c>
      <c r="AB7" t="s">
        <v>79</v>
      </c>
      <c r="AC7" t="s">
        <v>80</v>
      </c>
      <c r="AD7" t="s">
        <v>79</v>
      </c>
      <c r="AE7" t="s">
        <v>80</v>
      </c>
      <c r="AF7" t="s">
        <v>78</v>
      </c>
      <c r="AG7" t="s">
        <v>79</v>
      </c>
      <c r="AH7" t="s">
        <v>78</v>
      </c>
      <c r="AI7" t="s">
        <v>80</v>
      </c>
      <c r="AJ7" t="s">
        <v>79</v>
      </c>
      <c r="AK7" t="s">
        <v>78</v>
      </c>
      <c r="AL7" t="s">
        <v>132</v>
      </c>
      <c r="AM7" t="s">
        <v>64</v>
      </c>
      <c r="AN7" t="s">
        <v>77</v>
      </c>
      <c r="AO7">
        <v>12</v>
      </c>
      <c r="AP7" s="2" t="s">
        <v>78</v>
      </c>
      <c r="AQ7" t="s">
        <v>78</v>
      </c>
      <c r="AR7" t="s">
        <v>64</v>
      </c>
      <c r="AS7" t="s">
        <v>81</v>
      </c>
      <c r="AT7" t="s">
        <v>64</v>
      </c>
      <c r="AU7" t="s">
        <v>82</v>
      </c>
      <c r="AV7" t="s">
        <v>83</v>
      </c>
      <c r="AW7" t="s">
        <v>84</v>
      </c>
      <c r="AX7">
        <v>821628079</v>
      </c>
      <c r="AY7" t="s">
        <v>85</v>
      </c>
      <c r="AZ7" s="1">
        <v>46228</v>
      </c>
      <c r="BC7" t="s">
        <v>86</v>
      </c>
      <c r="BD7" t="s">
        <v>211</v>
      </c>
      <c r="BE7" t="s">
        <v>88</v>
      </c>
      <c r="BG7" t="s">
        <v>89</v>
      </c>
      <c r="BH7">
        <v>6</v>
      </c>
    </row>
    <row r="8" spans="1:60" x14ac:dyDescent="0.3">
      <c r="A8" t="s">
        <v>291</v>
      </c>
      <c r="B8" s="1">
        <v>46023</v>
      </c>
      <c r="C8" t="s">
        <v>129</v>
      </c>
      <c r="D8" t="s">
        <v>92</v>
      </c>
      <c r="E8" t="s">
        <v>156</v>
      </c>
      <c r="F8">
        <v>11.612163499999999</v>
      </c>
      <c r="G8">
        <v>9.2189782000000005</v>
      </c>
      <c r="H8">
        <v>493.1072998046875</v>
      </c>
      <c r="I8">
        <v>18.760000000000002</v>
      </c>
      <c r="K8" t="s">
        <v>64</v>
      </c>
      <c r="L8">
        <f t="shared" ref="L8:L55" ca="1" si="0">RANDBETWEEN(20,50)</f>
        <v>46</v>
      </c>
      <c r="M8" t="s">
        <v>65</v>
      </c>
      <c r="N8" t="s">
        <v>66</v>
      </c>
      <c r="O8" t="s">
        <v>67</v>
      </c>
      <c r="P8" t="s">
        <v>68</v>
      </c>
      <c r="Q8" t="s">
        <v>112</v>
      </c>
      <c r="R8" t="s">
        <v>70</v>
      </c>
      <c r="S8">
        <v>2</v>
      </c>
      <c r="T8" t="s">
        <v>71</v>
      </c>
      <c r="U8" t="s">
        <v>72</v>
      </c>
      <c r="V8" t="s">
        <v>115</v>
      </c>
      <c r="W8" t="s">
        <v>74</v>
      </c>
      <c r="X8" t="s">
        <v>75</v>
      </c>
      <c r="Y8" t="s">
        <v>76</v>
      </c>
      <c r="Z8" t="s">
        <v>77</v>
      </c>
      <c r="AA8" t="s">
        <v>78</v>
      </c>
      <c r="AB8" t="s">
        <v>79</v>
      </c>
      <c r="AC8" t="s">
        <v>80</v>
      </c>
      <c r="AD8" t="s">
        <v>79</v>
      </c>
      <c r="AE8" t="s">
        <v>80</v>
      </c>
      <c r="AF8" t="s">
        <v>78</v>
      </c>
      <c r="AG8" t="s">
        <v>79</v>
      </c>
      <c r="AH8" t="s">
        <v>78</v>
      </c>
      <c r="AI8" t="s">
        <v>80</v>
      </c>
      <c r="AJ8" t="s">
        <v>79</v>
      </c>
      <c r="AK8" t="s">
        <v>78</v>
      </c>
      <c r="AL8" t="s">
        <v>132</v>
      </c>
      <c r="AM8" t="s">
        <v>64</v>
      </c>
      <c r="AN8" t="s">
        <v>77</v>
      </c>
      <c r="AO8">
        <v>12</v>
      </c>
      <c r="AP8" s="2" t="s">
        <v>78</v>
      </c>
      <c r="AQ8" t="s">
        <v>78</v>
      </c>
      <c r="AR8" t="s">
        <v>64</v>
      </c>
      <c r="AS8" t="s">
        <v>81</v>
      </c>
      <c r="AT8" t="s">
        <v>64</v>
      </c>
      <c r="AU8" t="s">
        <v>102</v>
      </c>
      <c r="AV8" t="s">
        <v>103</v>
      </c>
      <c r="AW8" t="s">
        <v>104</v>
      </c>
      <c r="AX8">
        <v>821628080</v>
      </c>
      <c r="AY8" t="s">
        <v>181</v>
      </c>
      <c r="AZ8" s="1">
        <v>46228</v>
      </c>
      <c r="BC8" t="s">
        <v>86</v>
      </c>
      <c r="BD8" t="s">
        <v>212</v>
      </c>
      <c r="BE8" t="s">
        <v>88</v>
      </c>
      <c r="BG8" t="s">
        <v>260</v>
      </c>
      <c r="BH8">
        <v>7</v>
      </c>
    </row>
    <row r="9" spans="1:60" x14ac:dyDescent="0.3">
      <c r="A9" t="s">
        <v>292</v>
      </c>
      <c r="B9" s="1">
        <v>46025</v>
      </c>
      <c r="C9" t="s">
        <v>129</v>
      </c>
      <c r="D9" t="s">
        <v>109</v>
      </c>
      <c r="E9" t="s">
        <v>157</v>
      </c>
      <c r="F9">
        <v>11.612163499999999</v>
      </c>
      <c r="G9">
        <v>9.2189782000000005</v>
      </c>
      <c r="H9">
        <v>493.1072998046875</v>
      </c>
      <c r="I9">
        <v>18.760000000000002</v>
      </c>
      <c r="K9" t="s">
        <v>64</v>
      </c>
      <c r="L9">
        <f t="shared" ca="1" si="0"/>
        <v>46</v>
      </c>
      <c r="M9" t="s">
        <v>111</v>
      </c>
      <c r="N9" t="s">
        <v>66</v>
      </c>
      <c r="O9" t="s">
        <v>67</v>
      </c>
      <c r="P9" t="s">
        <v>68</v>
      </c>
      <c r="Q9" t="s">
        <v>112</v>
      </c>
      <c r="R9" t="s">
        <v>70</v>
      </c>
      <c r="S9">
        <v>2</v>
      </c>
      <c r="T9" t="s">
        <v>71</v>
      </c>
      <c r="U9" t="s">
        <v>72</v>
      </c>
      <c r="V9" t="s">
        <v>115</v>
      </c>
      <c r="W9" t="s">
        <v>74</v>
      </c>
      <c r="X9" t="s">
        <v>75</v>
      </c>
      <c r="Y9" t="s">
        <v>76</v>
      </c>
      <c r="Z9" t="s">
        <v>77</v>
      </c>
      <c r="AA9" t="s">
        <v>78</v>
      </c>
      <c r="AB9" t="s">
        <v>79</v>
      </c>
      <c r="AC9" t="s">
        <v>80</v>
      </c>
      <c r="AD9" t="s">
        <v>79</v>
      </c>
      <c r="AE9" t="s">
        <v>80</v>
      </c>
      <c r="AF9" t="s">
        <v>78</v>
      </c>
      <c r="AG9" t="s">
        <v>79</v>
      </c>
      <c r="AH9" t="s">
        <v>78</v>
      </c>
      <c r="AI9" t="s">
        <v>80</v>
      </c>
      <c r="AJ9" t="s">
        <v>79</v>
      </c>
      <c r="AK9" t="s">
        <v>78</v>
      </c>
      <c r="AL9" t="s">
        <v>132</v>
      </c>
      <c r="AM9" t="s">
        <v>64</v>
      </c>
      <c r="AN9" t="s">
        <v>77</v>
      </c>
      <c r="AO9">
        <v>12</v>
      </c>
      <c r="AP9" s="2" t="s">
        <v>78</v>
      </c>
      <c r="AQ9" t="s">
        <v>80</v>
      </c>
      <c r="AR9" t="s">
        <v>64</v>
      </c>
      <c r="AS9" t="s">
        <v>117</v>
      </c>
      <c r="AT9" t="s">
        <v>64</v>
      </c>
      <c r="AU9" t="s">
        <v>102</v>
      </c>
      <c r="AV9" t="s">
        <v>83</v>
      </c>
      <c r="AW9" t="s">
        <v>118</v>
      </c>
      <c r="AX9">
        <v>821628081</v>
      </c>
      <c r="AY9" t="s">
        <v>182</v>
      </c>
      <c r="AZ9" s="1">
        <v>46228</v>
      </c>
      <c r="BC9" t="s">
        <v>86</v>
      </c>
      <c r="BD9" t="s">
        <v>213</v>
      </c>
      <c r="BE9" t="s">
        <v>88</v>
      </c>
      <c r="BG9" t="s">
        <v>261</v>
      </c>
      <c r="BH9">
        <v>8</v>
      </c>
    </row>
    <row r="10" spans="1:60" x14ac:dyDescent="0.3">
      <c r="A10" t="s">
        <v>293</v>
      </c>
      <c r="B10" s="1">
        <v>46030</v>
      </c>
      <c r="C10" t="s">
        <v>129</v>
      </c>
      <c r="D10" t="s">
        <v>123</v>
      </c>
      <c r="E10" t="s">
        <v>158</v>
      </c>
      <c r="F10">
        <v>11.612163499999999</v>
      </c>
      <c r="G10">
        <v>9.2189782000000005</v>
      </c>
      <c r="H10">
        <v>493.1072998046875</v>
      </c>
      <c r="I10">
        <v>18.760000000000002</v>
      </c>
      <c r="K10" t="s">
        <v>64</v>
      </c>
      <c r="L10">
        <f t="shared" ca="1" si="0"/>
        <v>32</v>
      </c>
      <c r="M10" t="s">
        <v>111</v>
      </c>
      <c r="N10" t="s">
        <v>66</v>
      </c>
      <c r="O10" t="s">
        <v>67</v>
      </c>
      <c r="P10" t="s">
        <v>68</v>
      </c>
      <c r="Q10" t="s">
        <v>112</v>
      </c>
      <c r="R10" t="s">
        <v>70</v>
      </c>
      <c r="S10">
        <v>2</v>
      </c>
      <c r="T10" t="s">
        <v>71</v>
      </c>
      <c r="U10" t="s">
        <v>72</v>
      </c>
      <c r="V10" t="s">
        <v>115</v>
      </c>
      <c r="W10" t="s">
        <v>74</v>
      </c>
      <c r="X10" t="s">
        <v>75</v>
      </c>
      <c r="Y10" t="s">
        <v>76</v>
      </c>
      <c r="Z10" t="s">
        <v>77</v>
      </c>
      <c r="AA10" t="s">
        <v>78</v>
      </c>
      <c r="AB10" t="s">
        <v>79</v>
      </c>
      <c r="AC10" t="s">
        <v>80</v>
      </c>
      <c r="AD10" t="s">
        <v>79</v>
      </c>
      <c r="AE10" t="s">
        <v>80</v>
      </c>
      <c r="AF10" t="s">
        <v>78</v>
      </c>
      <c r="AG10" t="s">
        <v>79</v>
      </c>
      <c r="AH10" t="s">
        <v>78</v>
      </c>
      <c r="AI10" t="s">
        <v>80</v>
      </c>
      <c r="AJ10" t="s">
        <v>79</v>
      </c>
      <c r="AK10" t="s">
        <v>78</v>
      </c>
      <c r="AL10" t="s">
        <v>132</v>
      </c>
      <c r="AM10" t="s">
        <v>64</v>
      </c>
      <c r="AN10" t="s">
        <v>77</v>
      </c>
      <c r="AO10">
        <v>12</v>
      </c>
      <c r="AP10" s="2" t="s">
        <v>78</v>
      </c>
      <c r="AQ10" t="s">
        <v>78</v>
      </c>
      <c r="AR10" t="s">
        <v>64</v>
      </c>
      <c r="AS10" t="s">
        <v>117</v>
      </c>
      <c r="AT10" t="s">
        <v>64</v>
      </c>
      <c r="AU10" t="s">
        <v>102</v>
      </c>
      <c r="AV10" t="s">
        <v>83</v>
      </c>
      <c r="AW10" t="s">
        <v>118</v>
      </c>
      <c r="AX10">
        <v>821628082</v>
      </c>
      <c r="AY10" t="s">
        <v>183</v>
      </c>
      <c r="AZ10" s="1">
        <v>46228</v>
      </c>
      <c r="BC10" t="s">
        <v>86</v>
      </c>
      <c r="BD10" t="s">
        <v>214</v>
      </c>
      <c r="BE10" t="s">
        <v>88</v>
      </c>
      <c r="BG10" t="s">
        <v>262</v>
      </c>
      <c r="BH10">
        <v>9</v>
      </c>
    </row>
    <row r="11" spans="1:60" x14ac:dyDescent="0.3">
      <c r="A11" t="s">
        <v>294</v>
      </c>
      <c r="B11" s="1">
        <v>46024</v>
      </c>
      <c r="C11" t="s">
        <v>129</v>
      </c>
      <c r="D11" t="s">
        <v>130</v>
      </c>
      <c r="E11" t="s">
        <v>159</v>
      </c>
      <c r="F11">
        <v>11.612163499999999</v>
      </c>
      <c r="G11">
        <v>9.2189782000000005</v>
      </c>
      <c r="H11">
        <v>493.1072998046875</v>
      </c>
      <c r="I11">
        <v>18.760000000000002</v>
      </c>
      <c r="K11" t="s">
        <v>64</v>
      </c>
      <c r="L11">
        <f t="shared" ca="1" si="0"/>
        <v>24</v>
      </c>
      <c r="M11" t="s">
        <v>111</v>
      </c>
      <c r="N11" t="s">
        <v>66</v>
      </c>
      <c r="O11" t="s">
        <v>67</v>
      </c>
      <c r="P11" t="s">
        <v>68</v>
      </c>
      <c r="Q11" t="s">
        <v>112</v>
      </c>
      <c r="R11" t="s">
        <v>70</v>
      </c>
      <c r="S11">
        <v>2</v>
      </c>
      <c r="T11" t="s">
        <v>71</v>
      </c>
      <c r="U11" t="s">
        <v>72</v>
      </c>
      <c r="V11" t="s">
        <v>115</v>
      </c>
      <c r="W11" t="s">
        <v>74</v>
      </c>
      <c r="X11" t="s">
        <v>75</v>
      </c>
      <c r="Y11" t="s">
        <v>76</v>
      </c>
      <c r="Z11" t="s">
        <v>77</v>
      </c>
      <c r="AA11" t="s">
        <v>78</v>
      </c>
      <c r="AB11" t="s">
        <v>79</v>
      </c>
      <c r="AC11" t="s">
        <v>80</v>
      </c>
      <c r="AD11" t="s">
        <v>79</v>
      </c>
      <c r="AE11" t="s">
        <v>80</v>
      </c>
      <c r="AF11" t="s">
        <v>78</v>
      </c>
      <c r="AG11" t="s">
        <v>79</v>
      </c>
      <c r="AH11" t="s">
        <v>78</v>
      </c>
      <c r="AI11" t="s">
        <v>80</v>
      </c>
      <c r="AJ11" t="s">
        <v>79</v>
      </c>
      <c r="AK11" t="s">
        <v>78</v>
      </c>
      <c r="AL11" t="s">
        <v>132</v>
      </c>
      <c r="AM11" t="s">
        <v>64</v>
      </c>
      <c r="AN11" t="s">
        <v>77</v>
      </c>
      <c r="AO11">
        <v>12</v>
      </c>
      <c r="AP11" s="2" t="s">
        <v>78</v>
      </c>
      <c r="AQ11" t="s">
        <v>80</v>
      </c>
      <c r="AR11" t="s">
        <v>64</v>
      </c>
      <c r="AS11" t="s">
        <v>117</v>
      </c>
      <c r="AT11" t="s">
        <v>64</v>
      </c>
      <c r="AU11" t="s">
        <v>102</v>
      </c>
      <c r="AV11" t="s">
        <v>83</v>
      </c>
      <c r="AW11" t="s">
        <v>118</v>
      </c>
      <c r="AX11">
        <v>821628083</v>
      </c>
      <c r="AY11" t="s">
        <v>133</v>
      </c>
      <c r="AZ11" s="1">
        <v>46228</v>
      </c>
      <c r="BC11" t="s">
        <v>86</v>
      </c>
      <c r="BD11" t="s">
        <v>215</v>
      </c>
      <c r="BE11" t="s">
        <v>88</v>
      </c>
      <c r="BG11" t="s">
        <v>134</v>
      </c>
      <c r="BH11">
        <v>10</v>
      </c>
    </row>
    <row r="12" spans="1:60" x14ac:dyDescent="0.3">
      <c r="A12" t="s">
        <v>295</v>
      </c>
      <c r="B12" s="1">
        <v>46228</v>
      </c>
      <c r="C12" t="s">
        <v>129</v>
      </c>
      <c r="D12" s="4" t="s">
        <v>344</v>
      </c>
      <c r="E12" t="s">
        <v>160</v>
      </c>
      <c r="F12">
        <v>11.612163499999999</v>
      </c>
      <c r="G12">
        <v>9.2189782000000005</v>
      </c>
      <c r="H12">
        <v>493.1072998046875</v>
      </c>
      <c r="I12">
        <v>18.760000000000002</v>
      </c>
      <c r="K12" t="s">
        <v>64</v>
      </c>
      <c r="L12">
        <f t="shared" ca="1" si="0"/>
        <v>36</v>
      </c>
      <c r="M12" t="s">
        <v>111</v>
      </c>
      <c r="N12" t="s">
        <v>66</v>
      </c>
      <c r="O12" t="s">
        <v>67</v>
      </c>
      <c r="P12" t="s">
        <v>68</v>
      </c>
      <c r="Q12" t="s">
        <v>112</v>
      </c>
      <c r="R12" t="s">
        <v>70</v>
      </c>
      <c r="S12">
        <v>2</v>
      </c>
      <c r="T12" t="s">
        <v>71</v>
      </c>
      <c r="U12" t="s">
        <v>72</v>
      </c>
      <c r="V12" t="s">
        <v>115</v>
      </c>
      <c r="W12" t="s">
        <v>74</v>
      </c>
      <c r="X12" t="s">
        <v>75</v>
      </c>
      <c r="Y12" t="s">
        <v>76</v>
      </c>
      <c r="Z12" t="s">
        <v>77</v>
      </c>
      <c r="AA12" t="s">
        <v>78</v>
      </c>
      <c r="AB12" t="s">
        <v>79</v>
      </c>
      <c r="AC12" t="s">
        <v>80</v>
      </c>
      <c r="AD12" t="s">
        <v>79</v>
      </c>
      <c r="AE12" t="s">
        <v>80</v>
      </c>
      <c r="AF12" t="s">
        <v>78</v>
      </c>
      <c r="AG12" t="s">
        <v>79</v>
      </c>
      <c r="AH12" t="s">
        <v>78</v>
      </c>
      <c r="AI12" t="s">
        <v>80</v>
      </c>
      <c r="AJ12" t="s">
        <v>79</v>
      </c>
      <c r="AK12" t="s">
        <v>78</v>
      </c>
      <c r="AL12" t="s">
        <v>132</v>
      </c>
      <c r="AM12" t="s">
        <v>64</v>
      </c>
      <c r="AN12" t="s">
        <v>77</v>
      </c>
      <c r="AO12">
        <v>12</v>
      </c>
      <c r="AP12" s="2" t="s">
        <v>78</v>
      </c>
      <c r="AQ12" t="s">
        <v>78</v>
      </c>
      <c r="AR12" t="s">
        <v>64</v>
      </c>
      <c r="AS12" t="s">
        <v>81</v>
      </c>
      <c r="AT12" t="s">
        <v>64</v>
      </c>
      <c r="AU12" t="s">
        <v>82</v>
      </c>
      <c r="AV12" t="s">
        <v>83</v>
      </c>
      <c r="AW12" t="s">
        <v>84</v>
      </c>
      <c r="AX12">
        <v>821628084</v>
      </c>
      <c r="AY12" t="s">
        <v>85</v>
      </c>
      <c r="AZ12" s="1">
        <v>46228</v>
      </c>
      <c r="BC12" t="s">
        <v>86</v>
      </c>
      <c r="BD12" t="s">
        <v>216</v>
      </c>
      <c r="BE12" t="s">
        <v>88</v>
      </c>
      <c r="BG12" t="s">
        <v>89</v>
      </c>
      <c r="BH12">
        <v>11</v>
      </c>
    </row>
    <row r="13" spans="1:60" x14ac:dyDescent="0.3">
      <c r="A13" t="s">
        <v>296</v>
      </c>
      <c r="B13" s="1">
        <v>46023</v>
      </c>
      <c r="C13" t="s">
        <v>129</v>
      </c>
      <c r="D13" s="4" t="s">
        <v>345</v>
      </c>
      <c r="E13" t="s">
        <v>161</v>
      </c>
      <c r="F13">
        <v>11.612163499999999</v>
      </c>
      <c r="G13">
        <v>9.2189782000000005</v>
      </c>
      <c r="H13">
        <v>493.1072998046875</v>
      </c>
      <c r="I13">
        <v>18.760000000000002</v>
      </c>
      <c r="K13" t="s">
        <v>64</v>
      </c>
      <c r="L13">
        <f t="shared" ca="1" si="0"/>
        <v>47</v>
      </c>
      <c r="M13" t="s">
        <v>111</v>
      </c>
      <c r="N13" t="s">
        <v>66</v>
      </c>
      <c r="O13" t="s">
        <v>67</v>
      </c>
      <c r="P13" t="s">
        <v>68</v>
      </c>
      <c r="Q13" t="s">
        <v>112</v>
      </c>
      <c r="R13" t="s">
        <v>70</v>
      </c>
      <c r="S13">
        <v>2</v>
      </c>
      <c r="T13" t="s">
        <v>71</v>
      </c>
      <c r="U13" t="s">
        <v>72</v>
      </c>
      <c r="V13" t="s">
        <v>115</v>
      </c>
      <c r="W13" t="s">
        <v>74</v>
      </c>
      <c r="X13" t="s">
        <v>75</v>
      </c>
      <c r="Y13" t="s">
        <v>76</v>
      </c>
      <c r="Z13" t="s">
        <v>77</v>
      </c>
      <c r="AA13" t="s">
        <v>78</v>
      </c>
      <c r="AB13" t="s">
        <v>79</v>
      </c>
      <c r="AC13" t="s">
        <v>80</v>
      </c>
      <c r="AD13" t="s">
        <v>79</v>
      </c>
      <c r="AE13" t="s">
        <v>80</v>
      </c>
      <c r="AF13" t="s">
        <v>78</v>
      </c>
      <c r="AG13" t="s">
        <v>79</v>
      </c>
      <c r="AH13" t="s">
        <v>78</v>
      </c>
      <c r="AI13" t="s">
        <v>80</v>
      </c>
      <c r="AJ13" t="s">
        <v>79</v>
      </c>
      <c r="AK13" t="s">
        <v>78</v>
      </c>
      <c r="AL13" t="s">
        <v>132</v>
      </c>
      <c r="AM13" t="s">
        <v>64</v>
      </c>
      <c r="AN13" t="s">
        <v>77</v>
      </c>
      <c r="AO13">
        <v>12</v>
      </c>
      <c r="AP13" s="2" t="s">
        <v>78</v>
      </c>
      <c r="AQ13" t="s">
        <v>78</v>
      </c>
      <c r="AR13" t="s">
        <v>64</v>
      </c>
      <c r="AS13" t="s">
        <v>81</v>
      </c>
      <c r="AT13" t="s">
        <v>64</v>
      </c>
      <c r="AU13" t="s">
        <v>102</v>
      </c>
      <c r="AV13" t="s">
        <v>103</v>
      </c>
      <c r="AW13" t="s">
        <v>104</v>
      </c>
      <c r="AX13">
        <v>821628085</v>
      </c>
      <c r="AY13" t="s">
        <v>184</v>
      </c>
      <c r="AZ13" s="1">
        <v>46228</v>
      </c>
      <c r="BC13" t="s">
        <v>86</v>
      </c>
      <c r="BD13" t="s">
        <v>217</v>
      </c>
      <c r="BE13" t="s">
        <v>88</v>
      </c>
      <c r="BG13" t="s">
        <v>263</v>
      </c>
      <c r="BH13">
        <v>12</v>
      </c>
    </row>
    <row r="14" spans="1:60" x14ac:dyDescent="0.3">
      <c r="A14" t="s">
        <v>297</v>
      </c>
      <c r="B14" s="1">
        <v>46025</v>
      </c>
      <c r="C14" t="s">
        <v>129</v>
      </c>
      <c r="D14" s="4" t="s">
        <v>346</v>
      </c>
      <c r="E14" t="s">
        <v>162</v>
      </c>
      <c r="F14">
        <v>11.612163499999999</v>
      </c>
      <c r="G14">
        <v>9.2189782000000005</v>
      </c>
      <c r="H14">
        <v>493.1072998046875</v>
      </c>
      <c r="I14">
        <v>18.760000000000002</v>
      </c>
      <c r="K14" t="s">
        <v>64</v>
      </c>
      <c r="L14">
        <f t="shared" ca="1" si="0"/>
        <v>44</v>
      </c>
      <c r="M14" t="s">
        <v>111</v>
      </c>
      <c r="N14" t="s">
        <v>66</v>
      </c>
      <c r="O14" t="s">
        <v>67</v>
      </c>
      <c r="P14" t="s">
        <v>68</v>
      </c>
      <c r="Q14" t="s">
        <v>112</v>
      </c>
      <c r="R14" t="s">
        <v>70</v>
      </c>
      <c r="S14">
        <v>2</v>
      </c>
      <c r="T14" t="s">
        <v>71</v>
      </c>
      <c r="U14" t="s">
        <v>72</v>
      </c>
      <c r="V14" t="s">
        <v>115</v>
      </c>
      <c r="W14" t="s">
        <v>74</v>
      </c>
      <c r="X14" t="s">
        <v>75</v>
      </c>
      <c r="Y14" t="s">
        <v>76</v>
      </c>
      <c r="Z14" t="s">
        <v>77</v>
      </c>
      <c r="AA14" t="s">
        <v>78</v>
      </c>
      <c r="AB14" t="s">
        <v>79</v>
      </c>
      <c r="AC14" t="s">
        <v>80</v>
      </c>
      <c r="AD14" t="s">
        <v>79</v>
      </c>
      <c r="AE14" t="s">
        <v>80</v>
      </c>
      <c r="AF14" t="s">
        <v>78</v>
      </c>
      <c r="AG14" t="s">
        <v>79</v>
      </c>
      <c r="AH14" t="s">
        <v>78</v>
      </c>
      <c r="AI14" t="s">
        <v>80</v>
      </c>
      <c r="AJ14" t="s">
        <v>79</v>
      </c>
      <c r="AK14" t="s">
        <v>78</v>
      </c>
      <c r="AL14" t="s">
        <v>132</v>
      </c>
      <c r="AM14" t="s">
        <v>64</v>
      </c>
      <c r="AN14" t="s">
        <v>77</v>
      </c>
      <c r="AO14">
        <v>12</v>
      </c>
      <c r="AP14" s="2" t="s">
        <v>78</v>
      </c>
      <c r="AQ14" t="s">
        <v>80</v>
      </c>
      <c r="AR14" t="s">
        <v>64</v>
      </c>
      <c r="AS14" t="s">
        <v>117</v>
      </c>
      <c r="AT14" t="s">
        <v>64</v>
      </c>
      <c r="AU14" t="s">
        <v>102</v>
      </c>
      <c r="AV14" t="s">
        <v>83</v>
      </c>
      <c r="AW14" t="s">
        <v>118</v>
      </c>
      <c r="AX14">
        <v>821628086</v>
      </c>
      <c r="AY14" t="s">
        <v>185</v>
      </c>
      <c r="AZ14" s="1">
        <v>46228</v>
      </c>
      <c r="BC14" t="s">
        <v>86</v>
      </c>
      <c r="BD14" t="s">
        <v>218</v>
      </c>
      <c r="BE14" t="s">
        <v>88</v>
      </c>
      <c r="BG14" t="s">
        <v>264</v>
      </c>
      <c r="BH14">
        <v>13</v>
      </c>
    </row>
    <row r="15" spans="1:60" x14ac:dyDescent="0.3">
      <c r="A15" t="s">
        <v>298</v>
      </c>
      <c r="B15" s="1">
        <v>46030</v>
      </c>
      <c r="C15" t="s">
        <v>129</v>
      </c>
      <c r="D15" s="4" t="s">
        <v>347</v>
      </c>
      <c r="E15" t="s">
        <v>163</v>
      </c>
      <c r="F15">
        <v>11.612163499999999</v>
      </c>
      <c r="G15">
        <v>9.2189782000000005</v>
      </c>
      <c r="H15">
        <v>493.1072998046875</v>
      </c>
      <c r="I15">
        <v>18.760000000000002</v>
      </c>
      <c r="K15" t="s">
        <v>64</v>
      </c>
      <c r="L15">
        <f t="shared" ca="1" si="0"/>
        <v>37</v>
      </c>
      <c r="M15" t="s">
        <v>111</v>
      </c>
      <c r="N15" t="s">
        <v>66</v>
      </c>
      <c r="O15" t="s">
        <v>67</v>
      </c>
      <c r="P15" t="s">
        <v>68</v>
      </c>
      <c r="Q15" t="s">
        <v>112</v>
      </c>
      <c r="R15" t="s">
        <v>70</v>
      </c>
      <c r="S15">
        <v>2</v>
      </c>
      <c r="T15" t="s">
        <v>71</v>
      </c>
      <c r="U15" t="s">
        <v>72</v>
      </c>
      <c r="V15" t="s">
        <v>115</v>
      </c>
      <c r="W15" t="s">
        <v>74</v>
      </c>
      <c r="X15" t="s">
        <v>75</v>
      </c>
      <c r="Y15" t="s">
        <v>76</v>
      </c>
      <c r="Z15" t="s">
        <v>77</v>
      </c>
      <c r="AA15" t="s">
        <v>78</v>
      </c>
      <c r="AB15" s="2" t="s">
        <v>79</v>
      </c>
      <c r="AC15" t="s">
        <v>80</v>
      </c>
      <c r="AD15" t="s">
        <v>79</v>
      </c>
      <c r="AE15" t="s">
        <v>80</v>
      </c>
      <c r="AF15" t="s">
        <v>78</v>
      </c>
      <c r="AG15" t="s">
        <v>79</v>
      </c>
      <c r="AH15" t="s">
        <v>78</v>
      </c>
      <c r="AI15" t="s">
        <v>80</v>
      </c>
      <c r="AJ15" t="s">
        <v>79</v>
      </c>
      <c r="AK15" t="s">
        <v>78</v>
      </c>
      <c r="AL15" t="s">
        <v>132</v>
      </c>
      <c r="AM15" t="s">
        <v>64</v>
      </c>
      <c r="AN15" t="s">
        <v>77</v>
      </c>
      <c r="AO15">
        <v>12</v>
      </c>
      <c r="AP15" s="2" t="s">
        <v>78</v>
      </c>
      <c r="AQ15" t="s">
        <v>78</v>
      </c>
      <c r="AR15" t="s">
        <v>64</v>
      </c>
      <c r="AS15" t="s">
        <v>117</v>
      </c>
      <c r="AT15" t="s">
        <v>64</v>
      </c>
      <c r="AU15" t="s">
        <v>102</v>
      </c>
      <c r="AV15" t="s">
        <v>83</v>
      </c>
      <c r="AW15" t="s">
        <v>118</v>
      </c>
      <c r="AX15">
        <v>821628087</v>
      </c>
      <c r="AY15" t="s">
        <v>186</v>
      </c>
      <c r="AZ15" s="1">
        <v>46228</v>
      </c>
      <c r="BC15" t="s">
        <v>86</v>
      </c>
      <c r="BD15" t="s">
        <v>219</v>
      </c>
      <c r="BE15" t="s">
        <v>88</v>
      </c>
      <c r="BG15" t="s">
        <v>265</v>
      </c>
      <c r="BH15">
        <v>14</v>
      </c>
    </row>
    <row r="16" spans="1:60" x14ac:dyDescent="0.3">
      <c r="A16" t="s">
        <v>299</v>
      </c>
      <c r="B16" s="1">
        <v>46024</v>
      </c>
      <c r="C16" t="s">
        <v>129</v>
      </c>
      <c r="D16" s="4" t="s">
        <v>348</v>
      </c>
      <c r="E16" t="s">
        <v>164</v>
      </c>
      <c r="F16">
        <v>11.612163499999999</v>
      </c>
      <c r="G16">
        <v>9.2189782000000005</v>
      </c>
      <c r="H16">
        <v>493.1072998046875</v>
      </c>
      <c r="I16">
        <v>18.760000000000002</v>
      </c>
      <c r="K16" t="s">
        <v>64</v>
      </c>
      <c r="L16">
        <f t="shared" ca="1" si="0"/>
        <v>48</v>
      </c>
      <c r="M16" t="s">
        <v>111</v>
      </c>
      <c r="N16" t="s">
        <v>66</v>
      </c>
      <c r="O16" t="s">
        <v>67</v>
      </c>
      <c r="P16" t="s">
        <v>68</v>
      </c>
      <c r="Q16" t="s">
        <v>112</v>
      </c>
      <c r="R16" t="s">
        <v>70</v>
      </c>
      <c r="S16">
        <v>2</v>
      </c>
      <c r="T16" t="s">
        <v>71</v>
      </c>
      <c r="U16" t="s">
        <v>72</v>
      </c>
      <c r="V16" t="s">
        <v>115</v>
      </c>
      <c r="W16" t="s">
        <v>74</v>
      </c>
      <c r="X16" t="s">
        <v>75</v>
      </c>
      <c r="Y16" t="s">
        <v>76</v>
      </c>
      <c r="Z16" t="s">
        <v>77</v>
      </c>
      <c r="AA16" t="s">
        <v>78</v>
      </c>
      <c r="AB16" s="2" t="s">
        <v>78</v>
      </c>
      <c r="AC16" t="s">
        <v>80</v>
      </c>
      <c r="AD16" t="s">
        <v>79</v>
      </c>
      <c r="AE16" t="s">
        <v>80</v>
      </c>
      <c r="AF16" t="s">
        <v>78</v>
      </c>
      <c r="AG16" t="s">
        <v>79</v>
      </c>
      <c r="AH16" t="s">
        <v>78</v>
      </c>
      <c r="AI16" t="s">
        <v>80</v>
      </c>
      <c r="AJ16" t="s">
        <v>79</v>
      </c>
      <c r="AK16" t="s">
        <v>78</v>
      </c>
      <c r="AL16" t="s">
        <v>132</v>
      </c>
      <c r="AM16" t="s">
        <v>64</v>
      </c>
      <c r="AN16" t="s">
        <v>77</v>
      </c>
      <c r="AO16">
        <v>12</v>
      </c>
      <c r="AP16" s="2" t="s">
        <v>78</v>
      </c>
      <c r="AQ16" t="s">
        <v>80</v>
      </c>
      <c r="AR16" t="s">
        <v>64</v>
      </c>
      <c r="AS16" t="s">
        <v>117</v>
      </c>
      <c r="AT16" t="s">
        <v>64</v>
      </c>
      <c r="AU16" t="s">
        <v>102</v>
      </c>
      <c r="AV16" t="s">
        <v>83</v>
      </c>
      <c r="AW16" t="s">
        <v>118</v>
      </c>
      <c r="AX16">
        <v>821628088</v>
      </c>
      <c r="AY16" t="s">
        <v>133</v>
      </c>
      <c r="AZ16" s="1">
        <v>46228</v>
      </c>
      <c r="BC16" t="s">
        <v>86</v>
      </c>
      <c r="BD16" t="s">
        <v>220</v>
      </c>
      <c r="BE16" t="s">
        <v>88</v>
      </c>
      <c r="BG16" t="s">
        <v>134</v>
      </c>
      <c r="BH16">
        <v>15</v>
      </c>
    </row>
    <row r="17" spans="1:60" x14ac:dyDescent="0.3">
      <c r="A17" t="s">
        <v>300</v>
      </c>
      <c r="B17" s="1">
        <v>46228</v>
      </c>
      <c r="C17" t="s">
        <v>129</v>
      </c>
      <c r="D17" s="4" t="s">
        <v>349</v>
      </c>
      <c r="E17" t="s">
        <v>165</v>
      </c>
      <c r="F17">
        <v>11.612163499999999</v>
      </c>
      <c r="G17">
        <v>9.2189782000000005</v>
      </c>
      <c r="H17">
        <v>493.1072998046875</v>
      </c>
      <c r="I17">
        <v>18.760000000000002</v>
      </c>
      <c r="K17" t="s">
        <v>64</v>
      </c>
      <c r="L17">
        <f t="shared" ca="1" si="0"/>
        <v>46</v>
      </c>
      <c r="M17" t="s">
        <v>111</v>
      </c>
      <c r="N17" t="s">
        <v>66</v>
      </c>
      <c r="O17" t="s">
        <v>67</v>
      </c>
      <c r="P17" t="s">
        <v>68</v>
      </c>
      <c r="Q17" t="s">
        <v>112</v>
      </c>
      <c r="R17" t="s">
        <v>70</v>
      </c>
      <c r="S17">
        <v>2</v>
      </c>
      <c r="T17" t="s">
        <v>71</v>
      </c>
      <c r="U17" t="s">
        <v>72</v>
      </c>
      <c r="V17" t="s">
        <v>115</v>
      </c>
      <c r="W17" t="s">
        <v>74</v>
      </c>
      <c r="X17" t="s">
        <v>75</v>
      </c>
      <c r="Y17" t="s">
        <v>76</v>
      </c>
      <c r="Z17" t="s">
        <v>77</v>
      </c>
      <c r="AA17" t="s">
        <v>78</v>
      </c>
      <c r="AB17" s="2" t="s">
        <v>78</v>
      </c>
      <c r="AC17" t="s">
        <v>80</v>
      </c>
      <c r="AD17" t="s">
        <v>79</v>
      </c>
      <c r="AE17" t="s">
        <v>80</v>
      </c>
      <c r="AF17" t="s">
        <v>78</v>
      </c>
      <c r="AG17" t="s">
        <v>79</v>
      </c>
      <c r="AH17" t="s">
        <v>78</v>
      </c>
      <c r="AI17" t="s">
        <v>80</v>
      </c>
      <c r="AJ17" t="s">
        <v>79</v>
      </c>
      <c r="AK17" t="s">
        <v>78</v>
      </c>
      <c r="AL17" t="s">
        <v>132</v>
      </c>
      <c r="AM17" t="s">
        <v>64</v>
      </c>
      <c r="AN17" t="s">
        <v>77</v>
      </c>
      <c r="AO17">
        <v>12</v>
      </c>
      <c r="AP17" s="2" t="s">
        <v>78</v>
      </c>
      <c r="AQ17" t="s">
        <v>78</v>
      </c>
      <c r="AR17" t="s">
        <v>64</v>
      </c>
      <c r="AS17" t="s">
        <v>81</v>
      </c>
      <c r="AT17" t="s">
        <v>64</v>
      </c>
      <c r="AU17" t="s">
        <v>82</v>
      </c>
      <c r="AV17" t="s">
        <v>83</v>
      </c>
      <c r="AW17" t="s">
        <v>84</v>
      </c>
      <c r="AX17">
        <v>821628089</v>
      </c>
      <c r="AY17" t="s">
        <v>85</v>
      </c>
      <c r="AZ17" s="1">
        <v>46228</v>
      </c>
      <c r="BC17" t="s">
        <v>86</v>
      </c>
      <c r="BD17" t="s">
        <v>221</v>
      </c>
      <c r="BE17" t="s">
        <v>88</v>
      </c>
      <c r="BG17" t="s">
        <v>89</v>
      </c>
      <c r="BH17">
        <v>16</v>
      </c>
    </row>
    <row r="18" spans="1:60" x14ac:dyDescent="0.3">
      <c r="A18" t="s">
        <v>301</v>
      </c>
      <c r="B18" s="1">
        <v>46023</v>
      </c>
      <c r="C18" t="s">
        <v>129</v>
      </c>
      <c r="D18" s="4" t="s">
        <v>350</v>
      </c>
      <c r="E18" t="s">
        <v>166</v>
      </c>
      <c r="F18">
        <v>11.612163499999999</v>
      </c>
      <c r="G18">
        <v>9.2189782000000005</v>
      </c>
      <c r="H18">
        <v>493.1072998046875</v>
      </c>
      <c r="I18">
        <v>18.760000000000002</v>
      </c>
      <c r="K18" t="s">
        <v>64</v>
      </c>
      <c r="L18">
        <f t="shared" ca="1" si="0"/>
        <v>34</v>
      </c>
      <c r="M18" t="s">
        <v>111</v>
      </c>
      <c r="N18" t="s">
        <v>66</v>
      </c>
      <c r="O18" t="s">
        <v>67</v>
      </c>
      <c r="P18" t="s">
        <v>68</v>
      </c>
      <c r="Q18" t="s">
        <v>112</v>
      </c>
      <c r="R18" t="s">
        <v>70</v>
      </c>
      <c r="S18">
        <v>2</v>
      </c>
      <c r="T18" t="s">
        <v>71</v>
      </c>
      <c r="U18" t="s">
        <v>72</v>
      </c>
      <c r="V18" t="s">
        <v>115</v>
      </c>
      <c r="W18" t="s">
        <v>74</v>
      </c>
      <c r="X18" s="2" t="s">
        <v>99</v>
      </c>
      <c r="Y18" t="s">
        <v>76</v>
      </c>
      <c r="Z18" t="s">
        <v>77</v>
      </c>
      <c r="AA18" t="s">
        <v>78</v>
      </c>
      <c r="AB18" s="2" t="s">
        <v>78</v>
      </c>
      <c r="AC18" s="2" t="s">
        <v>78</v>
      </c>
      <c r="AD18" s="2" t="s">
        <v>78</v>
      </c>
      <c r="AE18" t="s">
        <v>80</v>
      </c>
      <c r="AF18" t="s">
        <v>78</v>
      </c>
      <c r="AG18" t="s">
        <v>79</v>
      </c>
      <c r="AH18" t="s">
        <v>78</v>
      </c>
      <c r="AI18" t="s">
        <v>80</v>
      </c>
      <c r="AJ18" t="s">
        <v>79</v>
      </c>
      <c r="AK18" t="s">
        <v>78</v>
      </c>
      <c r="AL18" t="s">
        <v>132</v>
      </c>
      <c r="AM18" t="s">
        <v>64</v>
      </c>
      <c r="AN18" t="s">
        <v>77</v>
      </c>
      <c r="AO18">
        <v>12</v>
      </c>
      <c r="AP18" s="2" t="s">
        <v>78</v>
      </c>
      <c r="AQ18" t="s">
        <v>78</v>
      </c>
      <c r="AR18" t="s">
        <v>64</v>
      </c>
      <c r="AS18" t="s">
        <v>81</v>
      </c>
      <c r="AT18" t="s">
        <v>64</v>
      </c>
      <c r="AU18" t="s">
        <v>102</v>
      </c>
      <c r="AV18" t="s">
        <v>103</v>
      </c>
      <c r="AW18" t="s">
        <v>104</v>
      </c>
      <c r="AX18">
        <v>821628090</v>
      </c>
      <c r="AY18" t="s">
        <v>187</v>
      </c>
      <c r="AZ18" s="1">
        <v>46228</v>
      </c>
      <c r="BC18" t="s">
        <v>86</v>
      </c>
      <c r="BD18" t="s">
        <v>222</v>
      </c>
      <c r="BE18" t="s">
        <v>88</v>
      </c>
      <c r="BG18" t="s">
        <v>266</v>
      </c>
      <c r="BH18">
        <v>17</v>
      </c>
    </row>
    <row r="19" spans="1:60" x14ac:dyDescent="0.3">
      <c r="A19" t="s">
        <v>302</v>
      </c>
      <c r="B19" s="1">
        <v>46025</v>
      </c>
      <c r="C19" t="s">
        <v>129</v>
      </c>
      <c r="D19" s="4" t="s">
        <v>351</v>
      </c>
      <c r="E19" t="s">
        <v>167</v>
      </c>
      <c r="F19">
        <v>11.612163499999999</v>
      </c>
      <c r="G19">
        <v>9.2189782000000005</v>
      </c>
      <c r="H19">
        <v>493.1072998046875</v>
      </c>
      <c r="I19">
        <v>18.760000000000002</v>
      </c>
      <c r="K19" t="s">
        <v>64</v>
      </c>
      <c r="L19">
        <f t="shared" ca="1" si="0"/>
        <v>28</v>
      </c>
      <c r="M19" t="s">
        <v>111</v>
      </c>
      <c r="N19" t="s">
        <v>66</v>
      </c>
      <c r="O19" t="s">
        <v>67</v>
      </c>
      <c r="P19" t="s">
        <v>68</v>
      </c>
      <c r="Q19" t="s">
        <v>112</v>
      </c>
      <c r="R19" t="s">
        <v>70</v>
      </c>
      <c r="S19">
        <v>2</v>
      </c>
      <c r="T19" t="s">
        <v>71</v>
      </c>
      <c r="U19" t="s">
        <v>72</v>
      </c>
      <c r="V19" t="s">
        <v>115</v>
      </c>
      <c r="W19" t="s">
        <v>74</v>
      </c>
      <c r="X19" s="2" t="s">
        <v>99</v>
      </c>
      <c r="Y19" t="s">
        <v>76</v>
      </c>
      <c r="Z19" t="s">
        <v>77</v>
      </c>
      <c r="AA19" t="s">
        <v>78</v>
      </c>
      <c r="AB19" s="2" t="s">
        <v>78</v>
      </c>
      <c r="AC19" s="2" t="s">
        <v>78</v>
      </c>
      <c r="AD19" s="2" t="s">
        <v>78</v>
      </c>
      <c r="AE19" t="s">
        <v>80</v>
      </c>
      <c r="AF19" t="s">
        <v>78</v>
      </c>
      <c r="AG19" t="s">
        <v>79</v>
      </c>
      <c r="AH19" t="s">
        <v>78</v>
      </c>
      <c r="AI19" t="s">
        <v>80</v>
      </c>
      <c r="AJ19" t="s">
        <v>79</v>
      </c>
      <c r="AK19" t="s">
        <v>78</v>
      </c>
      <c r="AL19" t="s">
        <v>132</v>
      </c>
      <c r="AM19" t="s">
        <v>64</v>
      </c>
      <c r="AN19" t="s">
        <v>77</v>
      </c>
      <c r="AO19">
        <v>12</v>
      </c>
      <c r="AP19" s="2" t="s">
        <v>78</v>
      </c>
      <c r="AQ19" t="s">
        <v>80</v>
      </c>
      <c r="AR19" t="s">
        <v>64</v>
      </c>
      <c r="AS19" t="s">
        <v>117</v>
      </c>
      <c r="AT19" t="s">
        <v>64</v>
      </c>
      <c r="AU19" t="s">
        <v>102</v>
      </c>
      <c r="AV19" t="s">
        <v>83</v>
      </c>
      <c r="AW19" t="s">
        <v>118</v>
      </c>
      <c r="AX19">
        <v>821628091</v>
      </c>
      <c r="AY19" t="s">
        <v>188</v>
      </c>
      <c r="AZ19" s="1">
        <v>46228</v>
      </c>
      <c r="BC19" t="s">
        <v>86</v>
      </c>
      <c r="BD19" t="s">
        <v>223</v>
      </c>
      <c r="BE19" t="s">
        <v>88</v>
      </c>
      <c r="BG19" t="s">
        <v>267</v>
      </c>
      <c r="BH19">
        <v>18</v>
      </c>
    </row>
    <row r="20" spans="1:60" x14ac:dyDescent="0.3">
      <c r="A20" t="s">
        <v>303</v>
      </c>
      <c r="B20" s="1">
        <v>46030</v>
      </c>
      <c r="C20" t="s">
        <v>129</v>
      </c>
      <c r="D20" s="4" t="s">
        <v>347</v>
      </c>
      <c r="E20" t="s">
        <v>124</v>
      </c>
      <c r="F20">
        <v>11.6121689</v>
      </c>
      <c r="G20">
        <v>9.2190066999999996</v>
      </c>
      <c r="H20">
        <v>489.0548964064572</v>
      </c>
      <c r="I20">
        <v>15.007999999999999</v>
      </c>
      <c r="K20" t="s">
        <v>64</v>
      </c>
      <c r="L20">
        <f t="shared" ca="1" si="0"/>
        <v>39</v>
      </c>
      <c r="M20" t="s">
        <v>111</v>
      </c>
      <c r="N20" t="s">
        <v>66</v>
      </c>
      <c r="O20" t="s">
        <v>67</v>
      </c>
      <c r="P20" t="s">
        <v>94</v>
      </c>
      <c r="Q20" t="s">
        <v>112</v>
      </c>
      <c r="R20" t="s">
        <v>70</v>
      </c>
      <c r="S20">
        <v>2</v>
      </c>
      <c r="T20" t="s">
        <v>71</v>
      </c>
      <c r="U20" t="s">
        <v>72</v>
      </c>
      <c r="V20" t="s">
        <v>115</v>
      </c>
      <c r="W20" t="s">
        <v>74</v>
      </c>
      <c r="X20" s="2" t="s">
        <v>99</v>
      </c>
      <c r="Y20" t="s">
        <v>76</v>
      </c>
      <c r="Z20" t="s">
        <v>77</v>
      </c>
      <c r="AA20" t="s">
        <v>78</v>
      </c>
      <c r="AB20" s="2" t="s">
        <v>78</v>
      </c>
      <c r="AC20" s="2" t="s">
        <v>78</v>
      </c>
      <c r="AD20" s="2" t="s">
        <v>78</v>
      </c>
      <c r="AE20" t="s">
        <v>80</v>
      </c>
      <c r="AF20" s="2" t="s">
        <v>79</v>
      </c>
      <c r="AG20" t="s">
        <v>79</v>
      </c>
      <c r="AH20" t="s">
        <v>78</v>
      </c>
      <c r="AI20" t="s">
        <v>80</v>
      </c>
      <c r="AJ20" t="s">
        <v>79</v>
      </c>
      <c r="AK20" t="s">
        <v>78</v>
      </c>
      <c r="AL20" t="s">
        <v>132</v>
      </c>
      <c r="AM20" t="s">
        <v>64</v>
      </c>
      <c r="AN20" s="2" t="s">
        <v>101</v>
      </c>
      <c r="AO20">
        <v>12</v>
      </c>
      <c r="AP20" s="2" t="s">
        <v>78</v>
      </c>
      <c r="AQ20" t="s">
        <v>78</v>
      </c>
      <c r="AR20" t="s">
        <v>64</v>
      </c>
      <c r="AS20" t="s">
        <v>117</v>
      </c>
      <c r="AT20" t="s">
        <v>64</v>
      </c>
      <c r="AU20" t="s">
        <v>102</v>
      </c>
      <c r="AV20" t="s">
        <v>83</v>
      </c>
      <c r="AW20" t="s">
        <v>118</v>
      </c>
      <c r="AX20">
        <v>821628092</v>
      </c>
      <c r="AY20" t="s">
        <v>189</v>
      </c>
      <c r="AZ20" s="1">
        <v>46228</v>
      </c>
      <c r="BC20" t="s">
        <v>86</v>
      </c>
      <c r="BD20" t="s">
        <v>224</v>
      </c>
      <c r="BE20" t="s">
        <v>88</v>
      </c>
      <c r="BG20" t="s">
        <v>268</v>
      </c>
      <c r="BH20">
        <v>19</v>
      </c>
    </row>
    <row r="21" spans="1:60" x14ac:dyDescent="0.3">
      <c r="A21" t="s">
        <v>304</v>
      </c>
      <c r="B21" s="1">
        <v>46024</v>
      </c>
      <c r="C21" t="s">
        <v>129</v>
      </c>
      <c r="D21" s="4" t="s">
        <v>352</v>
      </c>
      <c r="E21" t="s">
        <v>168</v>
      </c>
      <c r="F21">
        <v>11.6121689</v>
      </c>
      <c r="G21">
        <v>9.2190066999999996</v>
      </c>
      <c r="H21">
        <v>489.0548964064572</v>
      </c>
      <c r="I21">
        <v>15.007999999999999</v>
      </c>
      <c r="K21" t="s">
        <v>64</v>
      </c>
      <c r="L21">
        <f t="shared" ca="1" si="0"/>
        <v>42</v>
      </c>
      <c r="M21" t="s">
        <v>111</v>
      </c>
      <c r="N21" t="s">
        <v>66</v>
      </c>
      <c r="O21" t="s">
        <v>67</v>
      </c>
      <c r="P21" t="s">
        <v>94</v>
      </c>
      <c r="Q21" t="s">
        <v>112</v>
      </c>
      <c r="R21" t="s">
        <v>70</v>
      </c>
      <c r="S21">
        <v>2</v>
      </c>
      <c r="T21" t="s">
        <v>71</v>
      </c>
      <c r="U21" t="s">
        <v>72</v>
      </c>
      <c r="V21" t="s">
        <v>115</v>
      </c>
      <c r="W21" t="s">
        <v>74</v>
      </c>
      <c r="X21" s="2" t="s">
        <v>99</v>
      </c>
      <c r="Y21" t="s">
        <v>76</v>
      </c>
      <c r="Z21" t="s">
        <v>77</v>
      </c>
      <c r="AA21" t="s">
        <v>78</v>
      </c>
      <c r="AB21" s="2" t="s">
        <v>78</v>
      </c>
      <c r="AC21" s="2" t="s">
        <v>78</v>
      </c>
      <c r="AD21" s="2" t="s">
        <v>78</v>
      </c>
      <c r="AE21" t="s">
        <v>80</v>
      </c>
      <c r="AF21" s="2" t="s">
        <v>79</v>
      </c>
      <c r="AG21" t="s">
        <v>79</v>
      </c>
      <c r="AH21" t="s">
        <v>78</v>
      </c>
      <c r="AI21" t="s">
        <v>80</v>
      </c>
      <c r="AJ21" t="s">
        <v>79</v>
      </c>
      <c r="AK21" t="s">
        <v>78</v>
      </c>
      <c r="AL21" t="s">
        <v>132</v>
      </c>
      <c r="AM21" t="s">
        <v>64</v>
      </c>
      <c r="AN21" s="2" t="s">
        <v>101</v>
      </c>
      <c r="AO21">
        <v>12</v>
      </c>
      <c r="AP21" s="2" t="s">
        <v>78</v>
      </c>
      <c r="AQ21" t="s">
        <v>80</v>
      </c>
      <c r="AR21" t="s">
        <v>64</v>
      </c>
      <c r="AS21" t="s">
        <v>117</v>
      </c>
      <c r="AT21" t="s">
        <v>64</v>
      </c>
      <c r="AU21" t="s">
        <v>102</v>
      </c>
      <c r="AV21" t="s">
        <v>83</v>
      </c>
      <c r="AW21" t="s">
        <v>118</v>
      </c>
      <c r="AX21">
        <v>821628093</v>
      </c>
      <c r="AY21" t="s">
        <v>133</v>
      </c>
      <c r="AZ21" s="1">
        <v>46228</v>
      </c>
      <c r="BC21" t="s">
        <v>86</v>
      </c>
      <c r="BD21" t="s">
        <v>225</v>
      </c>
      <c r="BE21" t="s">
        <v>88</v>
      </c>
      <c r="BG21" t="s">
        <v>134</v>
      </c>
      <c r="BH21">
        <v>20</v>
      </c>
    </row>
    <row r="22" spans="1:60" x14ac:dyDescent="0.3">
      <c r="A22" t="s">
        <v>305</v>
      </c>
      <c r="B22" s="1">
        <v>46228</v>
      </c>
      <c r="C22" t="s">
        <v>129</v>
      </c>
      <c r="D22" s="3" t="s">
        <v>339</v>
      </c>
      <c r="E22" t="s">
        <v>169</v>
      </c>
      <c r="F22">
        <v>11.6121689</v>
      </c>
      <c r="G22">
        <v>9.2190066999999996</v>
      </c>
      <c r="H22">
        <v>489.0548964064572</v>
      </c>
      <c r="I22">
        <v>15.007999999999999</v>
      </c>
      <c r="K22" t="s">
        <v>64</v>
      </c>
      <c r="L22">
        <f t="shared" ca="1" si="0"/>
        <v>26</v>
      </c>
      <c r="M22" t="s">
        <v>111</v>
      </c>
      <c r="N22" t="s">
        <v>66</v>
      </c>
      <c r="O22" t="s">
        <v>67</v>
      </c>
      <c r="P22" t="s">
        <v>94</v>
      </c>
      <c r="Q22" t="s">
        <v>112</v>
      </c>
      <c r="R22" t="s">
        <v>70</v>
      </c>
      <c r="S22">
        <v>2</v>
      </c>
      <c r="T22" t="s">
        <v>71</v>
      </c>
      <c r="U22" t="s">
        <v>72</v>
      </c>
      <c r="V22" t="s">
        <v>115</v>
      </c>
      <c r="W22" t="s">
        <v>98</v>
      </c>
      <c r="X22" s="2" t="s">
        <v>99</v>
      </c>
      <c r="Y22" t="s">
        <v>76</v>
      </c>
      <c r="Z22" t="s">
        <v>77</v>
      </c>
      <c r="AA22" s="2" t="s">
        <v>79</v>
      </c>
      <c r="AB22" s="2" t="s">
        <v>78</v>
      </c>
      <c r="AC22" s="2" t="s">
        <v>78</v>
      </c>
      <c r="AD22" s="2" t="s">
        <v>78</v>
      </c>
      <c r="AE22" t="s">
        <v>80</v>
      </c>
      <c r="AF22" s="2" t="s">
        <v>79</v>
      </c>
      <c r="AG22" t="s">
        <v>78</v>
      </c>
      <c r="AH22" t="s">
        <v>78</v>
      </c>
      <c r="AI22" t="s">
        <v>80</v>
      </c>
      <c r="AJ22" t="s">
        <v>79</v>
      </c>
      <c r="AK22" t="s">
        <v>78</v>
      </c>
      <c r="AL22" t="s">
        <v>70</v>
      </c>
      <c r="AM22" t="s">
        <v>64</v>
      </c>
      <c r="AN22" s="2" t="s">
        <v>101</v>
      </c>
      <c r="AO22">
        <v>12</v>
      </c>
      <c r="AP22" s="2" t="s">
        <v>78</v>
      </c>
      <c r="AQ22" t="s">
        <v>78</v>
      </c>
      <c r="AR22" t="s">
        <v>64</v>
      </c>
      <c r="AS22" t="s">
        <v>81</v>
      </c>
      <c r="AT22" t="s">
        <v>64</v>
      </c>
      <c r="AU22" t="s">
        <v>82</v>
      </c>
      <c r="AV22" t="s">
        <v>83</v>
      </c>
      <c r="AW22" t="s">
        <v>84</v>
      </c>
      <c r="AX22">
        <v>821628094</v>
      </c>
      <c r="AY22" t="s">
        <v>85</v>
      </c>
      <c r="AZ22" s="1">
        <v>46228</v>
      </c>
      <c r="BC22" t="s">
        <v>86</v>
      </c>
      <c r="BD22" t="s">
        <v>226</v>
      </c>
      <c r="BE22" t="s">
        <v>88</v>
      </c>
      <c r="BG22" t="s">
        <v>89</v>
      </c>
      <c r="BH22">
        <v>21</v>
      </c>
    </row>
    <row r="23" spans="1:60" x14ac:dyDescent="0.3">
      <c r="A23" t="s">
        <v>306</v>
      </c>
      <c r="B23" s="1">
        <v>46023</v>
      </c>
      <c r="C23" t="s">
        <v>129</v>
      </c>
      <c r="D23" s="3" t="s">
        <v>340</v>
      </c>
      <c r="E23" t="s">
        <v>170</v>
      </c>
      <c r="F23">
        <v>11.6121689</v>
      </c>
      <c r="G23">
        <v>9.2190066999999996</v>
      </c>
      <c r="H23">
        <v>489.0548964064572</v>
      </c>
      <c r="I23">
        <v>15.007999999999999</v>
      </c>
      <c r="K23" t="s">
        <v>64</v>
      </c>
      <c r="L23">
        <f t="shared" ca="1" si="0"/>
        <v>22</v>
      </c>
      <c r="M23" t="s">
        <v>65</v>
      </c>
      <c r="N23" t="s">
        <v>66</v>
      </c>
      <c r="O23" t="s">
        <v>67</v>
      </c>
      <c r="P23" t="s">
        <v>94</v>
      </c>
      <c r="Q23" t="s">
        <v>69</v>
      </c>
      <c r="R23" t="s">
        <v>70</v>
      </c>
      <c r="S23">
        <v>1</v>
      </c>
      <c r="T23" t="s">
        <v>71</v>
      </c>
      <c r="U23" t="s">
        <v>72</v>
      </c>
      <c r="V23" t="s">
        <v>115</v>
      </c>
      <c r="W23" t="s">
        <v>98</v>
      </c>
      <c r="X23" s="2" t="s">
        <v>99</v>
      </c>
      <c r="Y23" t="s">
        <v>76</v>
      </c>
      <c r="Z23" t="s">
        <v>77</v>
      </c>
      <c r="AA23" s="2" t="s">
        <v>79</v>
      </c>
      <c r="AB23" s="2" t="s">
        <v>78</v>
      </c>
      <c r="AC23" s="2" t="s">
        <v>78</v>
      </c>
      <c r="AD23" s="2" t="s">
        <v>78</v>
      </c>
      <c r="AE23" s="2" t="s">
        <v>78</v>
      </c>
      <c r="AF23" s="2" t="s">
        <v>79</v>
      </c>
      <c r="AG23" t="s">
        <v>78</v>
      </c>
      <c r="AH23" t="s">
        <v>78</v>
      </c>
      <c r="AI23" t="s">
        <v>80</v>
      </c>
      <c r="AJ23" t="s">
        <v>79</v>
      </c>
      <c r="AK23" t="s">
        <v>78</v>
      </c>
      <c r="AL23" t="s">
        <v>70</v>
      </c>
      <c r="AM23" t="s">
        <v>64</v>
      </c>
      <c r="AN23" s="2" t="s">
        <v>101</v>
      </c>
      <c r="AO23">
        <v>12</v>
      </c>
      <c r="AP23" s="2" t="s">
        <v>78</v>
      </c>
      <c r="AQ23" t="s">
        <v>78</v>
      </c>
      <c r="AR23" t="s">
        <v>64</v>
      </c>
      <c r="AS23" t="s">
        <v>81</v>
      </c>
      <c r="AT23" t="s">
        <v>64</v>
      </c>
      <c r="AU23" t="s">
        <v>102</v>
      </c>
      <c r="AV23" t="s">
        <v>103</v>
      </c>
      <c r="AW23" t="s">
        <v>104</v>
      </c>
      <c r="AX23">
        <v>821628095</v>
      </c>
      <c r="AY23" t="s">
        <v>190</v>
      </c>
      <c r="AZ23" s="1">
        <v>46228</v>
      </c>
      <c r="BC23" t="s">
        <v>86</v>
      </c>
      <c r="BD23" t="s">
        <v>227</v>
      </c>
      <c r="BE23" t="s">
        <v>88</v>
      </c>
      <c r="BG23" t="s">
        <v>269</v>
      </c>
      <c r="BH23">
        <v>22</v>
      </c>
    </row>
    <row r="24" spans="1:60" x14ac:dyDescent="0.3">
      <c r="A24" t="s">
        <v>307</v>
      </c>
      <c r="B24" s="1">
        <v>46025</v>
      </c>
      <c r="C24" t="s">
        <v>129</v>
      </c>
      <c r="D24" s="3" t="s">
        <v>341</v>
      </c>
      <c r="E24" t="s">
        <v>171</v>
      </c>
      <c r="F24">
        <v>11.6121689</v>
      </c>
      <c r="G24">
        <v>9.2190066999999996</v>
      </c>
      <c r="H24">
        <v>489.0548964064572</v>
      </c>
      <c r="I24">
        <v>15.007999999999999</v>
      </c>
      <c r="K24" t="s">
        <v>64</v>
      </c>
      <c r="L24">
        <f t="shared" ca="1" si="0"/>
        <v>41</v>
      </c>
      <c r="M24" t="s">
        <v>65</v>
      </c>
      <c r="N24" t="s">
        <v>66</v>
      </c>
      <c r="O24" t="s">
        <v>67</v>
      </c>
      <c r="P24" t="s">
        <v>94</v>
      </c>
      <c r="Q24" t="s">
        <v>69</v>
      </c>
      <c r="R24" t="s">
        <v>70</v>
      </c>
      <c r="S24">
        <v>1</v>
      </c>
      <c r="T24" t="s">
        <v>71</v>
      </c>
      <c r="U24" t="s">
        <v>72</v>
      </c>
      <c r="V24" t="s">
        <v>115</v>
      </c>
      <c r="W24" t="s">
        <v>98</v>
      </c>
      <c r="X24" s="2" t="s">
        <v>99</v>
      </c>
      <c r="Y24" t="s">
        <v>76</v>
      </c>
      <c r="Z24" t="s">
        <v>77</v>
      </c>
      <c r="AA24" s="2" t="s">
        <v>79</v>
      </c>
      <c r="AB24" s="2" t="s">
        <v>78</v>
      </c>
      <c r="AC24" s="2" t="s">
        <v>78</v>
      </c>
      <c r="AD24" s="2" t="s">
        <v>78</v>
      </c>
      <c r="AE24" s="2" t="s">
        <v>78</v>
      </c>
      <c r="AF24" s="2" t="s">
        <v>79</v>
      </c>
      <c r="AG24" t="s">
        <v>78</v>
      </c>
      <c r="AH24" t="s">
        <v>78</v>
      </c>
      <c r="AI24" t="s">
        <v>80</v>
      </c>
      <c r="AJ24" t="s">
        <v>79</v>
      </c>
      <c r="AK24" t="s">
        <v>78</v>
      </c>
      <c r="AL24" t="s">
        <v>70</v>
      </c>
      <c r="AM24" t="s">
        <v>64</v>
      </c>
      <c r="AN24" s="2" t="s">
        <v>101</v>
      </c>
      <c r="AO24">
        <v>12</v>
      </c>
      <c r="AP24" s="2" t="s">
        <v>78</v>
      </c>
      <c r="AQ24" t="s">
        <v>80</v>
      </c>
      <c r="AR24" t="s">
        <v>64</v>
      </c>
      <c r="AS24" t="s">
        <v>117</v>
      </c>
      <c r="AT24" t="s">
        <v>64</v>
      </c>
      <c r="AU24" t="s">
        <v>102</v>
      </c>
      <c r="AV24" t="s">
        <v>83</v>
      </c>
      <c r="AW24" t="s">
        <v>118</v>
      </c>
      <c r="AX24">
        <v>821628096</v>
      </c>
      <c r="AY24" t="s">
        <v>191</v>
      </c>
      <c r="AZ24" s="1">
        <v>46228</v>
      </c>
      <c r="BC24" t="s">
        <v>86</v>
      </c>
      <c r="BD24" t="s">
        <v>228</v>
      </c>
      <c r="BE24" t="s">
        <v>88</v>
      </c>
      <c r="BG24" t="s">
        <v>270</v>
      </c>
      <c r="BH24">
        <v>23</v>
      </c>
    </row>
    <row r="25" spans="1:60" x14ac:dyDescent="0.3">
      <c r="A25" t="s">
        <v>308</v>
      </c>
      <c r="B25" s="1">
        <v>46030</v>
      </c>
      <c r="C25" t="s">
        <v>129</v>
      </c>
      <c r="D25" s="3" t="s">
        <v>342</v>
      </c>
      <c r="E25" t="s">
        <v>172</v>
      </c>
      <c r="F25">
        <v>11.6121689</v>
      </c>
      <c r="G25">
        <v>9.2190066999999996</v>
      </c>
      <c r="H25">
        <v>489.0548964064572</v>
      </c>
      <c r="I25">
        <v>15.007999999999999</v>
      </c>
      <c r="K25" t="s">
        <v>64</v>
      </c>
      <c r="L25">
        <f t="shared" ca="1" si="0"/>
        <v>45</v>
      </c>
      <c r="M25" t="s">
        <v>65</v>
      </c>
      <c r="N25" t="s">
        <v>66</v>
      </c>
      <c r="O25" t="s">
        <v>67</v>
      </c>
      <c r="P25" t="s">
        <v>94</v>
      </c>
      <c r="Q25" t="s">
        <v>69</v>
      </c>
      <c r="R25" t="s">
        <v>70</v>
      </c>
      <c r="S25">
        <v>1</v>
      </c>
      <c r="T25" s="2" t="s">
        <v>96</v>
      </c>
      <c r="U25" t="s">
        <v>72</v>
      </c>
      <c r="V25" s="2" t="s">
        <v>73</v>
      </c>
      <c r="W25" t="s">
        <v>98</v>
      </c>
      <c r="X25" s="2" t="s">
        <v>99</v>
      </c>
      <c r="Y25" t="s">
        <v>76</v>
      </c>
      <c r="Z25" t="s">
        <v>77</v>
      </c>
      <c r="AA25" s="2" t="s">
        <v>79</v>
      </c>
      <c r="AB25" s="2" t="s">
        <v>78</v>
      </c>
      <c r="AC25" s="2" t="s">
        <v>78</v>
      </c>
      <c r="AD25" s="2" t="s">
        <v>78</v>
      </c>
      <c r="AE25" s="2" t="s">
        <v>78</v>
      </c>
      <c r="AF25" s="2" t="s">
        <v>79</v>
      </c>
      <c r="AG25" t="s">
        <v>78</v>
      </c>
      <c r="AH25" t="s">
        <v>78</v>
      </c>
      <c r="AI25" t="s">
        <v>80</v>
      </c>
      <c r="AJ25" t="s">
        <v>79</v>
      </c>
      <c r="AK25" t="s">
        <v>78</v>
      </c>
      <c r="AL25" t="s">
        <v>70</v>
      </c>
      <c r="AM25" t="s">
        <v>64</v>
      </c>
      <c r="AN25" s="2" t="s">
        <v>101</v>
      </c>
      <c r="AO25">
        <v>12</v>
      </c>
      <c r="AP25" s="2" t="s">
        <v>78</v>
      </c>
      <c r="AQ25" t="s">
        <v>78</v>
      </c>
      <c r="AR25" t="s">
        <v>64</v>
      </c>
      <c r="AS25" t="s">
        <v>117</v>
      </c>
      <c r="AT25" t="s">
        <v>64</v>
      </c>
      <c r="AU25" t="s">
        <v>102</v>
      </c>
      <c r="AV25" t="s">
        <v>83</v>
      </c>
      <c r="AW25" t="s">
        <v>118</v>
      </c>
      <c r="AX25">
        <v>821628097</v>
      </c>
      <c r="AY25" t="s">
        <v>192</v>
      </c>
      <c r="AZ25" s="1">
        <v>46228</v>
      </c>
      <c r="BC25" t="s">
        <v>86</v>
      </c>
      <c r="BD25" t="s">
        <v>229</v>
      </c>
      <c r="BE25" t="s">
        <v>88</v>
      </c>
      <c r="BG25" t="s">
        <v>271</v>
      </c>
      <c r="BH25">
        <v>24</v>
      </c>
    </row>
    <row r="26" spans="1:60" x14ac:dyDescent="0.3">
      <c r="A26" t="s">
        <v>309</v>
      </c>
      <c r="B26" s="1">
        <v>46024</v>
      </c>
      <c r="C26" t="s">
        <v>129</v>
      </c>
      <c r="D26" s="3" t="s">
        <v>343</v>
      </c>
      <c r="E26" t="s">
        <v>173</v>
      </c>
      <c r="F26">
        <v>11.6121689</v>
      </c>
      <c r="G26">
        <v>9.2190066999999996</v>
      </c>
      <c r="H26">
        <v>489.0548964064572</v>
      </c>
      <c r="I26">
        <v>15.007999999999999</v>
      </c>
      <c r="K26" t="s">
        <v>64</v>
      </c>
      <c r="L26">
        <f t="shared" ca="1" si="0"/>
        <v>48</v>
      </c>
      <c r="M26" t="s">
        <v>65</v>
      </c>
      <c r="N26" t="s">
        <v>66</v>
      </c>
      <c r="O26" t="s">
        <v>67</v>
      </c>
      <c r="P26" t="s">
        <v>94</v>
      </c>
      <c r="Q26" t="s">
        <v>69</v>
      </c>
      <c r="R26" t="s">
        <v>70</v>
      </c>
      <c r="S26">
        <v>1</v>
      </c>
      <c r="T26" s="2" t="s">
        <v>96</v>
      </c>
      <c r="U26" t="s">
        <v>72</v>
      </c>
      <c r="V26" s="2" t="s">
        <v>73</v>
      </c>
      <c r="W26" t="s">
        <v>98</v>
      </c>
      <c r="X26" s="2" t="s">
        <v>99</v>
      </c>
      <c r="Y26" t="s">
        <v>76</v>
      </c>
      <c r="Z26" t="s">
        <v>77</v>
      </c>
      <c r="AA26" s="2" t="s">
        <v>79</v>
      </c>
      <c r="AB26" s="2" t="s">
        <v>78</v>
      </c>
      <c r="AC26" s="2" t="s">
        <v>78</v>
      </c>
      <c r="AD26" s="2" t="s">
        <v>78</v>
      </c>
      <c r="AE26" s="2" t="s">
        <v>78</v>
      </c>
      <c r="AF26" s="2" t="s">
        <v>79</v>
      </c>
      <c r="AG26" t="s">
        <v>78</v>
      </c>
      <c r="AH26" t="s">
        <v>78</v>
      </c>
      <c r="AI26" t="s">
        <v>80</v>
      </c>
      <c r="AJ26" t="s">
        <v>79</v>
      </c>
      <c r="AK26" t="s">
        <v>78</v>
      </c>
      <c r="AL26" t="s">
        <v>70</v>
      </c>
      <c r="AM26" t="s">
        <v>64</v>
      </c>
      <c r="AN26" s="2" t="s">
        <v>101</v>
      </c>
      <c r="AO26">
        <v>12</v>
      </c>
      <c r="AP26" s="2" t="s">
        <v>78</v>
      </c>
      <c r="AQ26" t="s">
        <v>80</v>
      </c>
      <c r="AR26" t="s">
        <v>64</v>
      </c>
      <c r="AS26" t="s">
        <v>117</v>
      </c>
      <c r="AT26" t="s">
        <v>64</v>
      </c>
      <c r="AU26" t="s">
        <v>102</v>
      </c>
      <c r="AV26" t="s">
        <v>83</v>
      </c>
      <c r="AW26" t="s">
        <v>118</v>
      </c>
      <c r="AX26">
        <v>821628098</v>
      </c>
      <c r="AY26" t="s">
        <v>133</v>
      </c>
      <c r="AZ26" s="1">
        <v>46228</v>
      </c>
      <c r="BC26" t="s">
        <v>86</v>
      </c>
      <c r="BD26" t="s">
        <v>230</v>
      </c>
      <c r="BE26" t="s">
        <v>88</v>
      </c>
      <c r="BG26" t="s">
        <v>134</v>
      </c>
      <c r="BH26">
        <v>25</v>
      </c>
    </row>
    <row r="27" spans="1:60" x14ac:dyDescent="0.3">
      <c r="A27" t="s">
        <v>310</v>
      </c>
      <c r="B27" s="1">
        <v>46228</v>
      </c>
      <c r="C27" t="s">
        <v>129</v>
      </c>
      <c r="D27" t="s">
        <v>62</v>
      </c>
      <c r="E27" t="s">
        <v>174</v>
      </c>
      <c r="F27">
        <v>11.6121689</v>
      </c>
      <c r="G27">
        <v>9.2190066999999996</v>
      </c>
      <c r="H27">
        <v>489.0548964064572</v>
      </c>
      <c r="I27">
        <v>15.007999999999999</v>
      </c>
      <c r="K27" t="s">
        <v>64</v>
      </c>
      <c r="L27">
        <f t="shared" ca="1" si="0"/>
        <v>48</v>
      </c>
      <c r="M27" t="s">
        <v>65</v>
      </c>
      <c r="N27" t="s">
        <v>66</v>
      </c>
      <c r="O27" t="s">
        <v>67</v>
      </c>
      <c r="P27" t="s">
        <v>94</v>
      </c>
      <c r="Q27" t="s">
        <v>69</v>
      </c>
      <c r="R27" t="s">
        <v>70</v>
      </c>
      <c r="S27">
        <v>1</v>
      </c>
      <c r="T27" s="2" t="s">
        <v>96</v>
      </c>
      <c r="U27" t="s">
        <v>72</v>
      </c>
      <c r="V27" s="2" t="s">
        <v>73</v>
      </c>
      <c r="W27" t="s">
        <v>98</v>
      </c>
      <c r="X27" s="2" t="s">
        <v>99</v>
      </c>
      <c r="Y27" t="s">
        <v>76</v>
      </c>
      <c r="Z27" t="s">
        <v>77</v>
      </c>
      <c r="AA27" s="2" t="s">
        <v>79</v>
      </c>
      <c r="AB27" s="2" t="s">
        <v>79</v>
      </c>
      <c r="AC27" s="2" t="s">
        <v>78</v>
      </c>
      <c r="AD27" s="2" t="s">
        <v>78</v>
      </c>
      <c r="AE27" s="2" t="s">
        <v>78</v>
      </c>
      <c r="AF27" s="2" t="s">
        <v>79</v>
      </c>
      <c r="AG27" t="s">
        <v>78</v>
      </c>
      <c r="AH27" t="s">
        <v>78</v>
      </c>
      <c r="AI27" t="s">
        <v>80</v>
      </c>
      <c r="AJ27" t="s">
        <v>79</v>
      </c>
      <c r="AK27" t="s">
        <v>78</v>
      </c>
      <c r="AL27" t="s">
        <v>70</v>
      </c>
      <c r="AM27" t="s">
        <v>64</v>
      </c>
      <c r="AN27" s="2" t="s">
        <v>101</v>
      </c>
      <c r="AO27">
        <v>12</v>
      </c>
      <c r="AP27" s="2" t="s">
        <v>78</v>
      </c>
      <c r="AQ27" t="s">
        <v>78</v>
      </c>
      <c r="AR27" t="s">
        <v>64</v>
      </c>
      <c r="AS27" t="s">
        <v>81</v>
      </c>
      <c r="AT27" t="s">
        <v>64</v>
      </c>
      <c r="AU27" t="s">
        <v>82</v>
      </c>
      <c r="AV27" t="s">
        <v>83</v>
      </c>
      <c r="AW27" t="s">
        <v>84</v>
      </c>
      <c r="AX27">
        <v>821628099</v>
      </c>
      <c r="AY27" t="s">
        <v>85</v>
      </c>
      <c r="AZ27" s="1">
        <v>46228</v>
      </c>
      <c r="BC27" t="s">
        <v>86</v>
      </c>
      <c r="BD27" t="s">
        <v>231</v>
      </c>
      <c r="BE27" t="s">
        <v>88</v>
      </c>
      <c r="BG27" t="s">
        <v>89</v>
      </c>
      <c r="BH27">
        <v>26</v>
      </c>
    </row>
    <row r="28" spans="1:60" x14ac:dyDescent="0.3">
      <c r="A28" t="s">
        <v>311</v>
      </c>
      <c r="B28" s="1">
        <v>46023</v>
      </c>
      <c r="C28" t="s">
        <v>129</v>
      </c>
      <c r="D28" t="s">
        <v>92</v>
      </c>
      <c r="E28" t="s">
        <v>175</v>
      </c>
      <c r="F28">
        <v>11.6121689</v>
      </c>
      <c r="G28">
        <v>9.2190066999999996</v>
      </c>
      <c r="H28">
        <v>489.0548964064572</v>
      </c>
      <c r="I28">
        <v>15.007999999999999</v>
      </c>
      <c r="K28" t="s">
        <v>64</v>
      </c>
      <c r="L28">
        <f t="shared" ca="1" si="0"/>
        <v>47</v>
      </c>
      <c r="M28" t="s">
        <v>65</v>
      </c>
      <c r="N28" t="s">
        <v>66</v>
      </c>
      <c r="O28" t="s">
        <v>67</v>
      </c>
      <c r="P28" t="s">
        <v>94</v>
      </c>
      <c r="Q28" t="s">
        <v>69</v>
      </c>
      <c r="R28" t="s">
        <v>70</v>
      </c>
      <c r="S28">
        <v>1</v>
      </c>
      <c r="T28" s="2" t="s">
        <v>96</v>
      </c>
      <c r="U28" t="s">
        <v>72</v>
      </c>
      <c r="V28" s="2" t="s">
        <v>73</v>
      </c>
      <c r="W28" t="s">
        <v>98</v>
      </c>
      <c r="X28" s="2" t="s">
        <v>99</v>
      </c>
      <c r="Y28" t="s">
        <v>76</v>
      </c>
      <c r="Z28" t="s">
        <v>77</v>
      </c>
      <c r="AA28" s="2" t="s">
        <v>79</v>
      </c>
      <c r="AB28" s="2" t="s">
        <v>79</v>
      </c>
      <c r="AC28" s="2" t="s">
        <v>78</v>
      </c>
      <c r="AD28" s="2" t="s">
        <v>78</v>
      </c>
      <c r="AE28" s="2" t="s">
        <v>78</v>
      </c>
      <c r="AF28" s="2" t="s">
        <v>79</v>
      </c>
      <c r="AG28" t="s">
        <v>78</v>
      </c>
      <c r="AH28" t="s">
        <v>78</v>
      </c>
      <c r="AI28" t="s">
        <v>80</v>
      </c>
      <c r="AJ28" t="s">
        <v>79</v>
      </c>
      <c r="AK28" t="s">
        <v>78</v>
      </c>
      <c r="AL28" t="s">
        <v>70</v>
      </c>
      <c r="AM28" t="s">
        <v>64</v>
      </c>
      <c r="AN28" s="2" t="s">
        <v>101</v>
      </c>
      <c r="AO28">
        <v>12</v>
      </c>
      <c r="AP28" s="2" t="s">
        <v>78</v>
      </c>
      <c r="AQ28" t="s">
        <v>78</v>
      </c>
      <c r="AR28" t="s">
        <v>64</v>
      </c>
      <c r="AS28" t="s">
        <v>81</v>
      </c>
      <c r="AT28" t="s">
        <v>64</v>
      </c>
      <c r="AU28" t="s">
        <v>102</v>
      </c>
      <c r="AV28" t="s">
        <v>103</v>
      </c>
      <c r="AW28" t="s">
        <v>104</v>
      </c>
      <c r="AX28">
        <v>821628100</v>
      </c>
      <c r="AY28" t="s">
        <v>193</v>
      </c>
      <c r="AZ28" s="1">
        <v>46228</v>
      </c>
      <c r="BC28" t="s">
        <v>86</v>
      </c>
      <c r="BD28" t="s">
        <v>232</v>
      </c>
      <c r="BE28" t="s">
        <v>88</v>
      </c>
      <c r="BG28" t="s">
        <v>272</v>
      </c>
      <c r="BH28">
        <v>27</v>
      </c>
    </row>
    <row r="29" spans="1:60" x14ac:dyDescent="0.3">
      <c r="A29" t="s">
        <v>312</v>
      </c>
      <c r="B29" s="1">
        <v>46025</v>
      </c>
      <c r="C29" t="s">
        <v>129</v>
      </c>
      <c r="D29" t="s">
        <v>109</v>
      </c>
      <c r="E29" t="s">
        <v>176</v>
      </c>
      <c r="F29">
        <v>11.6121689</v>
      </c>
      <c r="G29">
        <v>9.2190066999999996</v>
      </c>
      <c r="H29">
        <v>489.0548964064572</v>
      </c>
      <c r="I29">
        <v>15.007999999999999</v>
      </c>
      <c r="K29" t="s">
        <v>64</v>
      </c>
      <c r="L29">
        <f t="shared" ca="1" si="0"/>
        <v>44</v>
      </c>
      <c r="M29" t="s">
        <v>65</v>
      </c>
      <c r="N29" t="s">
        <v>66</v>
      </c>
      <c r="O29" t="s">
        <v>67</v>
      </c>
      <c r="P29" t="s">
        <v>94</v>
      </c>
      <c r="Q29" t="s">
        <v>69</v>
      </c>
      <c r="R29" t="s">
        <v>70</v>
      </c>
      <c r="S29">
        <v>1</v>
      </c>
      <c r="T29" s="2" t="s">
        <v>96</v>
      </c>
      <c r="U29" t="s">
        <v>72</v>
      </c>
      <c r="V29" s="2" t="s">
        <v>73</v>
      </c>
      <c r="W29" t="s">
        <v>98</v>
      </c>
      <c r="X29" s="2" t="s">
        <v>99</v>
      </c>
      <c r="Y29" t="s">
        <v>76</v>
      </c>
      <c r="Z29" t="s">
        <v>77</v>
      </c>
      <c r="AA29" s="2" t="s">
        <v>79</v>
      </c>
      <c r="AB29" s="2" t="s">
        <v>79</v>
      </c>
      <c r="AC29" s="2" t="s">
        <v>78</v>
      </c>
      <c r="AD29" s="2" t="s">
        <v>78</v>
      </c>
      <c r="AE29" s="2" t="s">
        <v>78</v>
      </c>
      <c r="AF29" s="2" t="s">
        <v>79</v>
      </c>
      <c r="AG29" t="s">
        <v>78</v>
      </c>
      <c r="AH29" t="s">
        <v>78</v>
      </c>
      <c r="AI29" t="s">
        <v>80</v>
      </c>
      <c r="AJ29" t="s">
        <v>79</v>
      </c>
      <c r="AK29" t="s">
        <v>78</v>
      </c>
      <c r="AL29" t="s">
        <v>70</v>
      </c>
      <c r="AM29" t="s">
        <v>64</v>
      </c>
      <c r="AN29" s="2" t="s">
        <v>101</v>
      </c>
      <c r="AO29">
        <v>12</v>
      </c>
      <c r="AP29" s="2" t="s">
        <v>78</v>
      </c>
      <c r="AQ29" t="s">
        <v>80</v>
      </c>
      <c r="AR29" t="s">
        <v>64</v>
      </c>
      <c r="AS29" t="s">
        <v>117</v>
      </c>
      <c r="AT29" t="s">
        <v>64</v>
      </c>
      <c r="AU29" t="s">
        <v>102</v>
      </c>
      <c r="AV29" t="s">
        <v>83</v>
      </c>
      <c r="AW29" t="s">
        <v>118</v>
      </c>
      <c r="AX29">
        <v>821628101</v>
      </c>
      <c r="AY29" t="s">
        <v>194</v>
      </c>
      <c r="AZ29" s="1">
        <v>46228</v>
      </c>
      <c r="BC29" t="s">
        <v>86</v>
      </c>
      <c r="BD29" t="s">
        <v>233</v>
      </c>
      <c r="BE29" t="s">
        <v>88</v>
      </c>
      <c r="BG29" t="s">
        <v>273</v>
      </c>
      <c r="BH29">
        <v>28</v>
      </c>
    </row>
    <row r="30" spans="1:60" x14ac:dyDescent="0.3">
      <c r="A30" t="s">
        <v>313</v>
      </c>
      <c r="B30" s="1">
        <v>46030</v>
      </c>
      <c r="C30" t="s">
        <v>129</v>
      </c>
      <c r="D30" t="s">
        <v>123</v>
      </c>
      <c r="E30" t="s">
        <v>177</v>
      </c>
      <c r="F30">
        <v>11.6121689</v>
      </c>
      <c r="G30">
        <v>9.2190066999999996</v>
      </c>
      <c r="H30">
        <v>489.0548964064572</v>
      </c>
      <c r="I30">
        <v>15.007999999999999</v>
      </c>
      <c r="K30" t="s">
        <v>64</v>
      </c>
      <c r="L30">
        <f t="shared" ca="1" si="0"/>
        <v>24</v>
      </c>
      <c r="M30" t="s">
        <v>65</v>
      </c>
      <c r="N30" t="s">
        <v>66</v>
      </c>
      <c r="O30" t="s">
        <v>67</v>
      </c>
      <c r="P30" t="s">
        <v>94</v>
      </c>
      <c r="Q30" t="s">
        <v>69</v>
      </c>
      <c r="R30" t="s">
        <v>70</v>
      </c>
      <c r="S30">
        <v>1</v>
      </c>
      <c r="T30" s="2" t="s">
        <v>96</v>
      </c>
      <c r="U30" t="s">
        <v>72</v>
      </c>
      <c r="V30" s="2" t="s">
        <v>73</v>
      </c>
      <c r="W30" t="s">
        <v>98</v>
      </c>
      <c r="X30" s="2" t="s">
        <v>99</v>
      </c>
      <c r="Y30" t="s">
        <v>76</v>
      </c>
      <c r="Z30" t="s">
        <v>77</v>
      </c>
      <c r="AA30" s="2" t="s">
        <v>79</v>
      </c>
      <c r="AB30" s="2" t="s">
        <v>79</v>
      </c>
      <c r="AC30" s="2" t="s">
        <v>79</v>
      </c>
      <c r="AD30" s="2" t="s">
        <v>79</v>
      </c>
      <c r="AE30" s="2" t="s">
        <v>78</v>
      </c>
      <c r="AF30" s="2" t="s">
        <v>79</v>
      </c>
      <c r="AG30" t="s">
        <v>78</v>
      </c>
      <c r="AH30" t="s">
        <v>78</v>
      </c>
      <c r="AI30" t="s">
        <v>80</v>
      </c>
      <c r="AJ30" t="s">
        <v>79</v>
      </c>
      <c r="AK30" t="s">
        <v>78</v>
      </c>
      <c r="AL30" t="s">
        <v>70</v>
      </c>
      <c r="AM30" t="s">
        <v>64</v>
      </c>
      <c r="AN30" s="2" t="s">
        <v>101</v>
      </c>
      <c r="AO30">
        <v>12</v>
      </c>
      <c r="AP30" s="2" t="s">
        <v>78</v>
      </c>
      <c r="AQ30" t="s">
        <v>78</v>
      </c>
      <c r="AR30" t="s">
        <v>64</v>
      </c>
      <c r="AS30" t="s">
        <v>117</v>
      </c>
      <c r="AT30" t="s">
        <v>64</v>
      </c>
      <c r="AU30" t="s">
        <v>102</v>
      </c>
      <c r="AV30" t="s">
        <v>83</v>
      </c>
      <c r="AW30" t="s">
        <v>118</v>
      </c>
      <c r="AX30">
        <v>821628102</v>
      </c>
      <c r="AY30" t="s">
        <v>195</v>
      </c>
      <c r="AZ30" s="1">
        <v>46228</v>
      </c>
      <c r="BC30" t="s">
        <v>86</v>
      </c>
      <c r="BD30" t="s">
        <v>234</v>
      </c>
      <c r="BE30" t="s">
        <v>88</v>
      </c>
      <c r="BG30" t="s">
        <v>274</v>
      </c>
      <c r="BH30">
        <v>29</v>
      </c>
    </row>
    <row r="31" spans="1:60" x14ac:dyDescent="0.3">
      <c r="A31" t="s">
        <v>314</v>
      </c>
      <c r="B31" s="1">
        <v>46024</v>
      </c>
      <c r="C31" t="s">
        <v>129</v>
      </c>
      <c r="D31" t="s">
        <v>130</v>
      </c>
      <c r="E31" t="s">
        <v>178</v>
      </c>
      <c r="F31">
        <v>11.6121689</v>
      </c>
      <c r="G31">
        <v>9.2190066999999996</v>
      </c>
      <c r="H31">
        <v>489.0548964064572</v>
      </c>
      <c r="I31">
        <v>15.007999999999999</v>
      </c>
      <c r="K31" t="s">
        <v>64</v>
      </c>
      <c r="L31">
        <f t="shared" ca="1" si="0"/>
        <v>38</v>
      </c>
      <c r="M31" t="s">
        <v>65</v>
      </c>
      <c r="N31" t="s">
        <v>66</v>
      </c>
      <c r="O31" t="s">
        <v>67</v>
      </c>
      <c r="P31" t="s">
        <v>94</v>
      </c>
      <c r="Q31" t="s">
        <v>69</v>
      </c>
      <c r="R31" t="s">
        <v>70</v>
      </c>
      <c r="S31">
        <v>1</v>
      </c>
      <c r="T31" s="2" t="s">
        <v>96</v>
      </c>
      <c r="U31" t="s">
        <v>72</v>
      </c>
      <c r="V31" s="2" t="s">
        <v>73</v>
      </c>
      <c r="W31" t="s">
        <v>98</v>
      </c>
      <c r="X31" s="2" t="s">
        <v>75</v>
      </c>
      <c r="Y31" t="s">
        <v>76</v>
      </c>
      <c r="Z31" t="s">
        <v>77</v>
      </c>
      <c r="AA31" s="2" t="s">
        <v>79</v>
      </c>
      <c r="AB31" s="2" t="s">
        <v>79</v>
      </c>
      <c r="AC31" s="2" t="s">
        <v>79</v>
      </c>
      <c r="AD31" s="2" t="s">
        <v>79</v>
      </c>
      <c r="AE31" s="2" t="s">
        <v>78</v>
      </c>
      <c r="AF31" s="2" t="s">
        <v>79</v>
      </c>
      <c r="AG31" t="s">
        <v>78</v>
      </c>
      <c r="AH31" t="s">
        <v>78</v>
      </c>
      <c r="AI31" t="s">
        <v>80</v>
      </c>
      <c r="AJ31" t="s">
        <v>79</v>
      </c>
      <c r="AK31" t="s">
        <v>78</v>
      </c>
      <c r="AL31" t="s">
        <v>70</v>
      </c>
      <c r="AM31" t="s">
        <v>64</v>
      </c>
      <c r="AN31" s="2" t="s">
        <v>101</v>
      </c>
      <c r="AO31">
        <v>12</v>
      </c>
      <c r="AP31" s="2" t="s">
        <v>78</v>
      </c>
      <c r="AQ31" t="s">
        <v>80</v>
      </c>
      <c r="AR31" t="s">
        <v>64</v>
      </c>
      <c r="AS31" t="s">
        <v>117</v>
      </c>
      <c r="AT31" t="s">
        <v>64</v>
      </c>
      <c r="AU31" t="s">
        <v>102</v>
      </c>
      <c r="AV31" t="s">
        <v>83</v>
      </c>
      <c r="AW31" t="s">
        <v>118</v>
      </c>
      <c r="AX31">
        <v>821628103</v>
      </c>
      <c r="AY31" t="s">
        <v>133</v>
      </c>
      <c r="AZ31" s="1">
        <v>46228</v>
      </c>
      <c r="BC31" t="s">
        <v>86</v>
      </c>
      <c r="BD31" t="s">
        <v>235</v>
      </c>
      <c r="BE31" t="s">
        <v>88</v>
      </c>
      <c r="BG31" t="s">
        <v>134</v>
      </c>
      <c r="BH31">
        <v>30</v>
      </c>
    </row>
    <row r="32" spans="1:60" x14ac:dyDescent="0.3">
      <c r="A32" t="s">
        <v>315</v>
      </c>
      <c r="B32" s="1">
        <v>46228</v>
      </c>
      <c r="C32" t="s">
        <v>129</v>
      </c>
      <c r="D32" s="4" t="s">
        <v>344</v>
      </c>
      <c r="E32" t="s">
        <v>179</v>
      </c>
      <c r="F32">
        <v>11.6121689</v>
      </c>
      <c r="G32">
        <v>9.2190066999999996</v>
      </c>
      <c r="H32">
        <v>489.0548964064572</v>
      </c>
      <c r="I32">
        <v>15.007999999999999</v>
      </c>
      <c r="K32" t="s">
        <v>64</v>
      </c>
      <c r="L32">
        <f t="shared" ca="1" si="0"/>
        <v>32</v>
      </c>
      <c r="M32" t="s">
        <v>65</v>
      </c>
      <c r="N32" t="s">
        <v>66</v>
      </c>
      <c r="O32" t="s">
        <v>67</v>
      </c>
      <c r="P32" t="s">
        <v>94</v>
      </c>
      <c r="Q32" t="s">
        <v>69</v>
      </c>
      <c r="R32" t="s">
        <v>70</v>
      </c>
      <c r="S32">
        <v>1</v>
      </c>
      <c r="T32" s="2" t="s">
        <v>96</v>
      </c>
      <c r="U32" t="s">
        <v>72</v>
      </c>
      <c r="V32" s="2" t="s">
        <v>73</v>
      </c>
      <c r="W32" t="s">
        <v>98</v>
      </c>
      <c r="X32" s="2" t="s">
        <v>75</v>
      </c>
      <c r="Y32" t="s">
        <v>76</v>
      </c>
      <c r="Z32" t="s">
        <v>77</v>
      </c>
      <c r="AA32" s="2" t="s">
        <v>79</v>
      </c>
      <c r="AB32" s="2" t="s">
        <v>79</v>
      </c>
      <c r="AC32" s="2" t="s">
        <v>79</v>
      </c>
      <c r="AD32" s="2" t="s">
        <v>79</v>
      </c>
      <c r="AE32" s="2" t="s">
        <v>78</v>
      </c>
      <c r="AF32" s="2" t="s">
        <v>79</v>
      </c>
      <c r="AG32" t="s">
        <v>78</v>
      </c>
      <c r="AH32" t="s">
        <v>78</v>
      </c>
      <c r="AI32" t="s">
        <v>80</v>
      </c>
      <c r="AJ32" t="s">
        <v>79</v>
      </c>
      <c r="AK32" t="s">
        <v>78</v>
      </c>
      <c r="AL32" t="s">
        <v>70</v>
      </c>
      <c r="AM32" t="s">
        <v>64</v>
      </c>
      <c r="AN32" s="2" t="s">
        <v>101</v>
      </c>
      <c r="AO32">
        <v>12</v>
      </c>
      <c r="AP32" s="2" t="s">
        <v>78</v>
      </c>
      <c r="AQ32" t="s">
        <v>78</v>
      </c>
      <c r="AR32" t="s">
        <v>64</v>
      </c>
      <c r="AS32" t="s">
        <v>81</v>
      </c>
      <c r="AT32" t="s">
        <v>64</v>
      </c>
      <c r="AU32" t="s">
        <v>82</v>
      </c>
      <c r="AV32" t="s">
        <v>83</v>
      </c>
      <c r="AW32" t="s">
        <v>84</v>
      </c>
      <c r="AX32">
        <v>821628104</v>
      </c>
      <c r="AY32" t="s">
        <v>85</v>
      </c>
      <c r="AZ32" s="1">
        <v>46228</v>
      </c>
      <c r="BC32" t="s">
        <v>86</v>
      </c>
      <c r="BD32" t="s">
        <v>236</v>
      </c>
      <c r="BE32" t="s">
        <v>88</v>
      </c>
      <c r="BG32" t="s">
        <v>89</v>
      </c>
      <c r="BH32">
        <v>31</v>
      </c>
    </row>
    <row r="33" spans="1:60" x14ac:dyDescent="0.3">
      <c r="A33" t="s">
        <v>316</v>
      </c>
      <c r="B33" s="1">
        <v>46023</v>
      </c>
      <c r="C33" t="s">
        <v>129</v>
      </c>
      <c r="D33" s="4" t="s">
        <v>345</v>
      </c>
      <c r="E33" t="s">
        <v>180</v>
      </c>
      <c r="F33">
        <v>11.6121689</v>
      </c>
      <c r="G33">
        <v>9.2190066999999996</v>
      </c>
      <c r="H33">
        <v>489.0548964064572</v>
      </c>
      <c r="I33">
        <v>15.007999999999999</v>
      </c>
      <c r="K33" t="s">
        <v>64</v>
      </c>
      <c r="L33">
        <f t="shared" ca="1" si="0"/>
        <v>32</v>
      </c>
      <c r="M33" t="s">
        <v>65</v>
      </c>
      <c r="N33" t="s">
        <v>66</v>
      </c>
      <c r="O33" t="s">
        <v>67</v>
      </c>
      <c r="P33" t="s">
        <v>94</v>
      </c>
      <c r="Q33" t="s">
        <v>69</v>
      </c>
      <c r="R33" t="s">
        <v>70</v>
      </c>
      <c r="S33">
        <v>1</v>
      </c>
      <c r="T33" s="2" t="s">
        <v>96</v>
      </c>
      <c r="U33" t="s">
        <v>72</v>
      </c>
      <c r="V33" s="2" t="s">
        <v>73</v>
      </c>
      <c r="W33" t="s">
        <v>98</v>
      </c>
      <c r="X33" s="2" t="s">
        <v>75</v>
      </c>
      <c r="Y33" t="s">
        <v>76</v>
      </c>
      <c r="Z33" t="s">
        <v>77</v>
      </c>
      <c r="AA33" s="2" t="s">
        <v>79</v>
      </c>
      <c r="AB33" s="2" t="s">
        <v>79</v>
      </c>
      <c r="AC33" s="2" t="s">
        <v>79</v>
      </c>
      <c r="AD33" s="2" t="s">
        <v>79</v>
      </c>
      <c r="AE33" s="2" t="s">
        <v>78</v>
      </c>
      <c r="AF33" s="2" t="s">
        <v>79</v>
      </c>
      <c r="AG33" t="s">
        <v>78</v>
      </c>
      <c r="AH33" t="s">
        <v>78</v>
      </c>
      <c r="AI33" t="s">
        <v>80</v>
      </c>
      <c r="AJ33" t="s">
        <v>79</v>
      </c>
      <c r="AK33" t="s">
        <v>78</v>
      </c>
      <c r="AL33" t="s">
        <v>70</v>
      </c>
      <c r="AM33" t="s">
        <v>64</v>
      </c>
      <c r="AN33" s="2" t="s">
        <v>101</v>
      </c>
      <c r="AO33">
        <v>12</v>
      </c>
      <c r="AP33" s="2" t="s">
        <v>78</v>
      </c>
      <c r="AQ33" t="s">
        <v>78</v>
      </c>
      <c r="AR33" t="s">
        <v>64</v>
      </c>
      <c r="AS33" t="s">
        <v>81</v>
      </c>
      <c r="AT33" t="s">
        <v>64</v>
      </c>
      <c r="AU33" t="s">
        <v>102</v>
      </c>
      <c r="AV33" t="s">
        <v>103</v>
      </c>
      <c r="AW33" t="s">
        <v>104</v>
      </c>
      <c r="AX33">
        <v>821628105</v>
      </c>
      <c r="AY33" t="s">
        <v>196</v>
      </c>
      <c r="AZ33" s="1">
        <v>46228</v>
      </c>
      <c r="BC33" t="s">
        <v>86</v>
      </c>
      <c r="BD33" t="s">
        <v>237</v>
      </c>
      <c r="BE33" t="s">
        <v>88</v>
      </c>
      <c r="BG33" t="s">
        <v>275</v>
      </c>
      <c r="BH33">
        <v>32</v>
      </c>
    </row>
    <row r="34" spans="1:60" x14ac:dyDescent="0.3">
      <c r="A34" t="s">
        <v>317</v>
      </c>
      <c r="B34" s="1">
        <v>46025</v>
      </c>
      <c r="C34" t="s">
        <v>129</v>
      </c>
      <c r="D34" s="4" t="s">
        <v>346</v>
      </c>
      <c r="E34" t="s">
        <v>110</v>
      </c>
      <c r="F34">
        <v>11.612034299999999</v>
      </c>
      <c r="G34">
        <v>9.2189241000000006</v>
      </c>
      <c r="H34">
        <v>488.84719416352323</v>
      </c>
      <c r="I34">
        <v>28.943999999999999</v>
      </c>
      <c r="K34" t="s">
        <v>64</v>
      </c>
      <c r="L34">
        <f t="shared" ca="1" si="0"/>
        <v>45</v>
      </c>
      <c r="M34" t="s">
        <v>65</v>
      </c>
      <c r="N34" t="s">
        <v>66</v>
      </c>
      <c r="O34" t="s">
        <v>67</v>
      </c>
      <c r="P34" t="s">
        <v>94</v>
      </c>
      <c r="Q34" t="s">
        <v>69</v>
      </c>
      <c r="R34" t="s">
        <v>70</v>
      </c>
      <c r="S34">
        <v>1</v>
      </c>
      <c r="T34" s="2" t="s">
        <v>96</v>
      </c>
      <c r="U34" t="s">
        <v>72</v>
      </c>
      <c r="V34" s="2" t="s">
        <v>73</v>
      </c>
      <c r="W34" t="s">
        <v>98</v>
      </c>
      <c r="X34" s="2" t="s">
        <v>75</v>
      </c>
      <c r="Y34" t="s">
        <v>76</v>
      </c>
      <c r="Z34" t="s">
        <v>77</v>
      </c>
      <c r="AA34" s="2" t="s">
        <v>79</v>
      </c>
      <c r="AB34" s="2" t="s">
        <v>79</v>
      </c>
      <c r="AC34" s="2" t="s">
        <v>79</v>
      </c>
      <c r="AD34" s="2" t="s">
        <v>79</v>
      </c>
      <c r="AE34" s="2" t="s">
        <v>78</v>
      </c>
      <c r="AF34" s="2" t="s">
        <v>79</v>
      </c>
      <c r="AG34" t="s">
        <v>78</v>
      </c>
      <c r="AH34" t="s">
        <v>78</v>
      </c>
      <c r="AI34" t="s">
        <v>80</v>
      </c>
      <c r="AJ34" t="s">
        <v>79</v>
      </c>
      <c r="AK34" t="s">
        <v>78</v>
      </c>
      <c r="AL34" t="s">
        <v>70</v>
      </c>
      <c r="AM34" t="s">
        <v>64</v>
      </c>
      <c r="AN34" s="2" t="s">
        <v>101</v>
      </c>
      <c r="AO34">
        <v>12</v>
      </c>
      <c r="AP34" s="2" t="s">
        <v>78</v>
      </c>
      <c r="AQ34" t="s">
        <v>80</v>
      </c>
      <c r="AR34" t="s">
        <v>64</v>
      </c>
      <c r="AS34" t="s">
        <v>117</v>
      </c>
      <c r="AT34" t="s">
        <v>64</v>
      </c>
      <c r="AU34" t="s">
        <v>102</v>
      </c>
      <c r="AV34" t="s">
        <v>83</v>
      </c>
      <c r="AW34" t="s">
        <v>118</v>
      </c>
      <c r="AX34">
        <v>821628106</v>
      </c>
      <c r="AY34" t="s">
        <v>197</v>
      </c>
      <c r="AZ34" s="1">
        <v>46228</v>
      </c>
      <c r="BC34" t="s">
        <v>86</v>
      </c>
      <c r="BD34" t="s">
        <v>238</v>
      </c>
      <c r="BE34" t="s">
        <v>88</v>
      </c>
      <c r="BG34" t="s">
        <v>276</v>
      </c>
      <c r="BH34">
        <v>33</v>
      </c>
    </row>
    <row r="35" spans="1:60" x14ac:dyDescent="0.3">
      <c r="A35" t="s">
        <v>318</v>
      </c>
      <c r="B35" s="1">
        <v>46030</v>
      </c>
      <c r="C35" t="s">
        <v>129</v>
      </c>
      <c r="D35" s="4" t="s">
        <v>347</v>
      </c>
      <c r="E35" t="s">
        <v>145</v>
      </c>
      <c r="F35">
        <v>11.612034299999999</v>
      </c>
      <c r="G35">
        <v>9.2189241000000006</v>
      </c>
      <c r="H35">
        <v>488.84719416352323</v>
      </c>
      <c r="I35">
        <v>28.943999999999999</v>
      </c>
      <c r="K35" t="s">
        <v>64</v>
      </c>
      <c r="L35">
        <f t="shared" ca="1" si="0"/>
        <v>36</v>
      </c>
      <c r="M35" t="s">
        <v>65</v>
      </c>
      <c r="N35" t="s">
        <v>66</v>
      </c>
      <c r="O35" t="s">
        <v>67</v>
      </c>
      <c r="P35" s="2" t="s">
        <v>94</v>
      </c>
      <c r="Q35" t="s">
        <v>69</v>
      </c>
      <c r="R35" t="s">
        <v>70</v>
      </c>
      <c r="S35">
        <v>1</v>
      </c>
      <c r="T35" s="2" t="s">
        <v>96</v>
      </c>
      <c r="U35" t="s">
        <v>72</v>
      </c>
      <c r="V35" s="2" t="s">
        <v>73</v>
      </c>
      <c r="W35" t="s">
        <v>116</v>
      </c>
      <c r="X35" s="2" t="s">
        <v>75</v>
      </c>
      <c r="Y35" t="s">
        <v>76</v>
      </c>
      <c r="Z35" t="s">
        <v>77</v>
      </c>
      <c r="AA35" s="2" t="s">
        <v>79</v>
      </c>
      <c r="AB35" s="2" t="s">
        <v>79</v>
      </c>
      <c r="AC35" s="2" t="s">
        <v>79</v>
      </c>
      <c r="AD35" s="2" t="s">
        <v>79</v>
      </c>
      <c r="AE35" s="2" t="s">
        <v>78</v>
      </c>
      <c r="AF35" s="2" t="s">
        <v>79</v>
      </c>
      <c r="AG35" t="s">
        <v>78</v>
      </c>
      <c r="AH35" t="s">
        <v>78</v>
      </c>
      <c r="AI35" t="s">
        <v>80</v>
      </c>
      <c r="AJ35" t="s">
        <v>79</v>
      </c>
      <c r="AK35" t="s">
        <v>78</v>
      </c>
      <c r="AL35" t="s">
        <v>70</v>
      </c>
      <c r="AM35" t="s">
        <v>64</v>
      </c>
      <c r="AN35" s="2" t="s">
        <v>101</v>
      </c>
      <c r="AO35">
        <v>12</v>
      </c>
      <c r="AP35" s="2" t="s">
        <v>78</v>
      </c>
      <c r="AQ35" t="s">
        <v>78</v>
      </c>
      <c r="AR35" t="s">
        <v>64</v>
      </c>
      <c r="AS35" t="s">
        <v>117</v>
      </c>
      <c r="AT35" t="s">
        <v>64</v>
      </c>
      <c r="AU35" t="s">
        <v>102</v>
      </c>
      <c r="AV35" t="s">
        <v>83</v>
      </c>
      <c r="AW35" t="s">
        <v>118</v>
      </c>
      <c r="AX35">
        <v>821628107</v>
      </c>
      <c r="AY35" t="s">
        <v>198</v>
      </c>
      <c r="AZ35" s="1">
        <v>46228</v>
      </c>
      <c r="BC35" t="s">
        <v>86</v>
      </c>
      <c r="BD35" t="s">
        <v>239</v>
      </c>
      <c r="BE35" t="s">
        <v>88</v>
      </c>
      <c r="BG35" t="s">
        <v>277</v>
      </c>
      <c r="BH35">
        <v>34</v>
      </c>
    </row>
    <row r="36" spans="1:60" x14ac:dyDescent="0.3">
      <c r="A36" t="s">
        <v>319</v>
      </c>
      <c r="B36" s="1">
        <v>46024</v>
      </c>
      <c r="C36" t="s">
        <v>129</v>
      </c>
      <c r="D36" s="4" t="s">
        <v>348</v>
      </c>
      <c r="E36" t="s">
        <v>146</v>
      </c>
      <c r="F36">
        <v>11.612034299999999</v>
      </c>
      <c r="G36">
        <v>9.2189241000000006</v>
      </c>
      <c r="H36">
        <v>488.84719416352323</v>
      </c>
      <c r="I36">
        <v>28.943999999999999</v>
      </c>
      <c r="K36" t="s">
        <v>64</v>
      </c>
      <c r="L36">
        <f t="shared" ca="1" si="0"/>
        <v>36</v>
      </c>
      <c r="M36" t="s">
        <v>65</v>
      </c>
      <c r="N36" t="s">
        <v>66</v>
      </c>
      <c r="O36" t="s">
        <v>67</v>
      </c>
      <c r="P36" s="2" t="s">
        <v>94</v>
      </c>
      <c r="Q36" t="s">
        <v>69</v>
      </c>
      <c r="R36" t="s">
        <v>70</v>
      </c>
      <c r="S36">
        <v>1</v>
      </c>
      <c r="T36" s="2" t="s">
        <v>96</v>
      </c>
      <c r="U36" t="s">
        <v>72</v>
      </c>
      <c r="V36" s="2" t="s">
        <v>73</v>
      </c>
      <c r="W36" t="s">
        <v>116</v>
      </c>
      <c r="X36" s="2" t="s">
        <v>75</v>
      </c>
      <c r="Y36" t="s">
        <v>76</v>
      </c>
      <c r="Z36" t="s">
        <v>77</v>
      </c>
      <c r="AA36" s="2" t="s">
        <v>78</v>
      </c>
      <c r="AB36" s="2" t="s">
        <v>79</v>
      </c>
      <c r="AC36" s="2" t="s">
        <v>79</v>
      </c>
      <c r="AD36" s="2" t="s">
        <v>79</v>
      </c>
      <c r="AE36" s="2" t="s">
        <v>78</v>
      </c>
      <c r="AF36" s="2" t="s">
        <v>79</v>
      </c>
      <c r="AG36" t="s">
        <v>78</v>
      </c>
      <c r="AH36" t="s">
        <v>78</v>
      </c>
      <c r="AI36" t="s">
        <v>80</v>
      </c>
      <c r="AJ36" t="s">
        <v>79</v>
      </c>
      <c r="AK36" t="s">
        <v>78</v>
      </c>
      <c r="AL36" t="s">
        <v>70</v>
      </c>
      <c r="AM36" t="s">
        <v>64</v>
      </c>
      <c r="AN36" s="2" t="s">
        <v>101</v>
      </c>
      <c r="AO36">
        <v>12</v>
      </c>
      <c r="AP36" s="2" t="s">
        <v>78</v>
      </c>
      <c r="AQ36" t="s">
        <v>80</v>
      </c>
      <c r="AR36" t="s">
        <v>64</v>
      </c>
      <c r="AS36" t="s">
        <v>117</v>
      </c>
      <c r="AT36" t="s">
        <v>64</v>
      </c>
      <c r="AU36" t="s">
        <v>102</v>
      </c>
      <c r="AV36" t="s">
        <v>83</v>
      </c>
      <c r="AW36" t="s">
        <v>118</v>
      </c>
      <c r="AX36">
        <v>821628108</v>
      </c>
      <c r="AY36" t="s">
        <v>133</v>
      </c>
      <c r="AZ36" s="1">
        <v>46228</v>
      </c>
      <c r="BC36" t="s">
        <v>86</v>
      </c>
      <c r="BD36" t="s">
        <v>240</v>
      </c>
      <c r="BE36" t="s">
        <v>88</v>
      </c>
      <c r="BG36" t="s">
        <v>134</v>
      </c>
      <c r="BH36">
        <v>35</v>
      </c>
    </row>
    <row r="37" spans="1:60" x14ac:dyDescent="0.3">
      <c r="A37" t="s">
        <v>320</v>
      </c>
      <c r="B37" s="1">
        <v>46228</v>
      </c>
      <c r="C37" t="s">
        <v>129</v>
      </c>
      <c r="D37" s="4" t="s">
        <v>349</v>
      </c>
      <c r="E37" t="s">
        <v>147</v>
      </c>
      <c r="F37">
        <v>11.612034299999999</v>
      </c>
      <c r="G37">
        <v>9.2189241000000006</v>
      </c>
      <c r="H37">
        <v>488.84719416352323</v>
      </c>
      <c r="I37">
        <v>28.943999999999999</v>
      </c>
      <c r="K37" t="s">
        <v>64</v>
      </c>
      <c r="L37">
        <f t="shared" ca="1" si="0"/>
        <v>26</v>
      </c>
      <c r="M37" t="s">
        <v>65</v>
      </c>
      <c r="N37" t="s">
        <v>66</v>
      </c>
      <c r="O37" t="s">
        <v>67</v>
      </c>
      <c r="P37" s="2" t="s">
        <v>94</v>
      </c>
      <c r="Q37" t="s">
        <v>95</v>
      </c>
      <c r="R37" t="s">
        <v>70</v>
      </c>
      <c r="S37">
        <v>1</v>
      </c>
      <c r="T37" s="2" t="s">
        <v>96</v>
      </c>
      <c r="U37" t="s">
        <v>72</v>
      </c>
      <c r="V37" s="2" t="s">
        <v>73</v>
      </c>
      <c r="W37" t="s">
        <v>116</v>
      </c>
      <c r="X37" s="2" t="s">
        <v>75</v>
      </c>
      <c r="Y37" t="s">
        <v>76</v>
      </c>
      <c r="Z37" t="s">
        <v>77</v>
      </c>
      <c r="AA37" s="2" t="s">
        <v>78</v>
      </c>
      <c r="AB37" s="2" t="s">
        <v>79</v>
      </c>
      <c r="AC37" s="2" t="s">
        <v>79</v>
      </c>
      <c r="AD37" s="2" t="s">
        <v>79</v>
      </c>
      <c r="AE37" s="2" t="s">
        <v>78</v>
      </c>
      <c r="AF37" s="2" t="s">
        <v>78</v>
      </c>
      <c r="AG37" t="s">
        <v>78</v>
      </c>
      <c r="AH37" t="s">
        <v>78</v>
      </c>
      <c r="AI37" t="s">
        <v>80</v>
      </c>
      <c r="AJ37" t="s">
        <v>79</v>
      </c>
      <c r="AK37" t="s">
        <v>78</v>
      </c>
      <c r="AL37" t="s">
        <v>70</v>
      </c>
      <c r="AM37" t="s">
        <v>64</v>
      </c>
      <c r="AN37" s="2" t="s">
        <v>101</v>
      </c>
      <c r="AO37">
        <v>12</v>
      </c>
      <c r="AP37" s="2" t="s">
        <v>78</v>
      </c>
      <c r="AQ37" t="s">
        <v>78</v>
      </c>
      <c r="AR37" t="s">
        <v>64</v>
      </c>
      <c r="AS37" t="s">
        <v>81</v>
      </c>
      <c r="AT37" t="s">
        <v>64</v>
      </c>
      <c r="AU37" t="s">
        <v>82</v>
      </c>
      <c r="AV37" t="s">
        <v>83</v>
      </c>
      <c r="AW37" t="s">
        <v>84</v>
      </c>
      <c r="AX37">
        <v>821628109</v>
      </c>
      <c r="AY37" t="s">
        <v>85</v>
      </c>
      <c r="AZ37" s="1">
        <v>46228</v>
      </c>
      <c r="BC37" t="s">
        <v>86</v>
      </c>
      <c r="BD37" t="s">
        <v>241</v>
      </c>
      <c r="BE37" t="s">
        <v>88</v>
      </c>
      <c r="BG37" t="s">
        <v>89</v>
      </c>
      <c r="BH37">
        <v>36</v>
      </c>
    </row>
    <row r="38" spans="1:60" x14ac:dyDescent="0.3">
      <c r="A38" t="s">
        <v>321</v>
      </c>
      <c r="B38" s="1">
        <v>46023</v>
      </c>
      <c r="C38" t="s">
        <v>129</v>
      </c>
      <c r="D38" s="4" t="s">
        <v>350</v>
      </c>
      <c r="E38" t="s">
        <v>148</v>
      </c>
      <c r="F38">
        <v>11.612034299999999</v>
      </c>
      <c r="G38">
        <v>9.2189241000000006</v>
      </c>
      <c r="H38">
        <v>488.84719416352323</v>
      </c>
      <c r="I38">
        <v>28.943999999999999</v>
      </c>
      <c r="K38" t="s">
        <v>64</v>
      </c>
      <c r="L38">
        <f t="shared" ca="1" si="0"/>
        <v>22</v>
      </c>
      <c r="M38" t="s">
        <v>65</v>
      </c>
      <c r="N38" t="s">
        <v>66</v>
      </c>
      <c r="O38" t="s">
        <v>67</v>
      </c>
      <c r="P38" s="2" t="s">
        <v>94</v>
      </c>
      <c r="Q38" t="s">
        <v>95</v>
      </c>
      <c r="R38" t="s">
        <v>70</v>
      </c>
      <c r="S38">
        <v>1</v>
      </c>
      <c r="T38" s="2" t="s">
        <v>113</v>
      </c>
      <c r="U38" t="s">
        <v>72</v>
      </c>
      <c r="V38" s="2" t="s">
        <v>73</v>
      </c>
      <c r="W38" t="s">
        <v>116</v>
      </c>
      <c r="X38" s="2" t="s">
        <v>75</v>
      </c>
      <c r="Y38" t="s">
        <v>76</v>
      </c>
      <c r="Z38" t="s">
        <v>77</v>
      </c>
      <c r="AA38" s="2" t="s">
        <v>78</v>
      </c>
      <c r="AB38" s="2" t="s">
        <v>79</v>
      </c>
      <c r="AC38" s="2" t="s">
        <v>79</v>
      </c>
      <c r="AD38" s="2" t="s">
        <v>79</v>
      </c>
      <c r="AE38" s="2" t="s">
        <v>79</v>
      </c>
      <c r="AF38" s="2" t="s">
        <v>78</v>
      </c>
      <c r="AG38" t="s">
        <v>78</v>
      </c>
      <c r="AH38" t="s">
        <v>78</v>
      </c>
      <c r="AI38" t="s">
        <v>80</v>
      </c>
      <c r="AJ38" t="s">
        <v>79</v>
      </c>
      <c r="AK38" t="s">
        <v>78</v>
      </c>
      <c r="AL38" t="s">
        <v>70</v>
      </c>
      <c r="AM38" t="s">
        <v>64</v>
      </c>
      <c r="AN38" s="2" t="s">
        <v>77</v>
      </c>
      <c r="AO38">
        <v>12</v>
      </c>
      <c r="AP38" s="2" t="s">
        <v>78</v>
      </c>
      <c r="AQ38" t="s">
        <v>78</v>
      </c>
      <c r="AR38" t="s">
        <v>64</v>
      </c>
      <c r="AS38" t="s">
        <v>81</v>
      </c>
      <c r="AT38" t="s">
        <v>64</v>
      </c>
      <c r="AU38" t="s">
        <v>102</v>
      </c>
      <c r="AV38" t="s">
        <v>103</v>
      </c>
      <c r="AW38" t="s">
        <v>104</v>
      </c>
      <c r="AX38">
        <v>821628110</v>
      </c>
      <c r="AY38" t="s">
        <v>199</v>
      </c>
      <c r="AZ38" s="1">
        <v>46228</v>
      </c>
      <c r="BC38" t="s">
        <v>86</v>
      </c>
      <c r="BD38" t="s">
        <v>242</v>
      </c>
      <c r="BE38" t="s">
        <v>88</v>
      </c>
      <c r="BG38" t="s">
        <v>278</v>
      </c>
      <c r="BH38">
        <v>37</v>
      </c>
    </row>
    <row r="39" spans="1:60" x14ac:dyDescent="0.3">
      <c r="A39" t="s">
        <v>322</v>
      </c>
      <c r="B39" s="1">
        <v>46025</v>
      </c>
      <c r="C39" t="s">
        <v>129</v>
      </c>
      <c r="D39" s="4" t="s">
        <v>351</v>
      </c>
      <c r="E39" t="s">
        <v>149</v>
      </c>
      <c r="F39">
        <v>11.612034299999999</v>
      </c>
      <c r="G39">
        <v>9.2189241000000006</v>
      </c>
      <c r="H39">
        <v>488.84719416352323</v>
      </c>
      <c r="I39">
        <v>28.943999999999999</v>
      </c>
      <c r="K39" t="s">
        <v>64</v>
      </c>
      <c r="L39">
        <f t="shared" ca="1" si="0"/>
        <v>49</v>
      </c>
      <c r="M39" t="s">
        <v>65</v>
      </c>
      <c r="N39" t="s">
        <v>66</v>
      </c>
      <c r="O39" t="s">
        <v>67</v>
      </c>
      <c r="P39" s="2" t="s">
        <v>94</v>
      </c>
      <c r="Q39" t="s">
        <v>95</v>
      </c>
      <c r="R39" t="s">
        <v>70</v>
      </c>
      <c r="S39">
        <v>1</v>
      </c>
      <c r="T39" s="2" t="s">
        <v>113</v>
      </c>
      <c r="U39" t="s">
        <v>72</v>
      </c>
      <c r="V39" s="2" t="s">
        <v>73</v>
      </c>
      <c r="W39" t="s">
        <v>116</v>
      </c>
      <c r="X39" s="2" t="s">
        <v>75</v>
      </c>
      <c r="Y39" t="s">
        <v>76</v>
      </c>
      <c r="Z39" t="s">
        <v>77</v>
      </c>
      <c r="AA39" s="2" t="s">
        <v>78</v>
      </c>
      <c r="AB39" s="2" t="s">
        <v>78</v>
      </c>
      <c r="AC39" s="2" t="s">
        <v>79</v>
      </c>
      <c r="AD39" s="2" t="s">
        <v>79</v>
      </c>
      <c r="AE39" s="2" t="s">
        <v>79</v>
      </c>
      <c r="AF39" s="2" t="s">
        <v>78</v>
      </c>
      <c r="AG39" t="s">
        <v>79</v>
      </c>
      <c r="AH39" t="s">
        <v>78</v>
      </c>
      <c r="AI39" t="s">
        <v>79</v>
      </c>
      <c r="AJ39" t="s">
        <v>78</v>
      </c>
      <c r="AK39" t="s">
        <v>80</v>
      </c>
      <c r="AL39" t="s">
        <v>70</v>
      </c>
      <c r="AM39" t="s">
        <v>64</v>
      </c>
      <c r="AN39" s="2" t="s">
        <v>101</v>
      </c>
      <c r="AO39">
        <v>12</v>
      </c>
      <c r="AP39" s="2" t="s">
        <v>78</v>
      </c>
      <c r="AQ39" t="s">
        <v>80</v>
      </c>
      <c r="AR39" t="s">
        <v>64</v>
      </c>
      <c r="AS39" t="s">
        <v>117</v>
      </c>
      <c r="AT39" t="s">
        <v>64</v>
      </c>
      <c r="AU39" t="s">
        <v>102</v>
      </c>
      <c r="AV39" t="s">
        <v>83</v>
      </c>
      <c r="AW39" t="s">
        <v>118</v>
      </c>
      <c r="AX39">
        <v>821628111</v>
      </c>
      <c r="AY39" t="s">
        <v>200</v>
      </c>
      <c r="AZ39" s="1">
        <v>46228</v>
      </c>
      <c r="BC39" t="s">
        <v>86</v>
      </c>
      <c r="BD39" t="s">
        <v>243</v>
      </c>
      <c r="BE39" t="s">
        <v>88</v>
      </c>
      <c r="BG39" t="s">
        <v>279</v>
      </c>
      <c r="BH39">
        <v>38</v>
      </c>
    </row>
    <row r="40" spans="1:60" x14ac:dyDescent="0.3">
      <c r="A40" t="s">
        <v>323</v>
      </c>
      <c r="B40" s="1">
        <v>46030</v>
      </c>
      <c r="C40" t="s">
        <v>129</v>
      </c>
      <c r="D40" s="4" t="s">
        <v>347</v>
      </c>
      <c r="E40" t="s">
        <v>150</v>
      </c>
      <c r="F40">
        <v>11.612034299999999</v>
      </c>
      <c r="G40">
        <v>9.2189241000000006</v>
      </c>
      <c r="H40">
        <v>488.84719416352323</v>
      </c>
      <c r="I40">
        <v>28.943999999999999</v>
      </c>
      <c r="K40" t="s">
        <v>64</v>
      </c>
      <c r="L40">
        <f t="shared" ca="1" si="0"/>
        <v>34</v>
      </c>
      <c r="M40" t="s">
        <v>65</v>
      </c>
      <c r="N40" t="s">
        <v>66</v>
      </c>
      <c r="O40" t="s">
        <v>67</v>
      </c>
      <c r="P40" s="2" t="s">
        <v>94</v>
      </c>
      <c r="Q40" t="s">
        <v>95</v>
      </c>
      <c r="R40" t="s">
        <v>70</v>
      </c>
      <c r="S40">
        <v>1</v>
      </c>
      <c r="T40" s="2" t="s">
        <v>113</v>
      </c>
      <c r="U40" t="s">
        <v>72</v>
      </c>
      <c r="V40" s="2" t="s">
        <v>73</v>
      </c>
      <c r="W40" t="s">
        <v>116</v>
      </c>
      <c r="X40" s="2" t="s">
        <v>75</v>
      </c>
      <c r="Y40" t="s">
        <v>76</v>
      </c>
      <c r="Z40" t="s">
        <v>77</v>
      </c>
      <c r="AA40" s="2" t="s">
        <v>78</v>
      </c>
      <c r="AB40" s="2" t="s">
        <v>78</v>
      </c>
      <c r="AC40" s="2" t="s">
        <v>79</v>
      </c>
      <c r="AD40" s="2" t="s">
        <v>79</v>
      </c>
      <c r="AE40" s="2" t="s">
        <v>79</v>
      </c>
      <c r="AF40" s="2" t="s">
        <v>78</v>
      </c>
      <c r="AG40" t="s">
        <v>79</v>
      </c>
      <c r="AH40" t="s">
        <v>78</v>
      </c>
      <c r="AI40" t="s">
        <v>79</v>
      </c>
      <c r="AJ40" t="s">
        <v>78</v>
      </c>
      <c r="AK40" t="s">
        <v>80</v>
      </c>
      <c r="AL40" t="s">
        <v>70</v>
      </c>
      <c r="AM40" t="s">
        <v>64</v>
      </c>
      <c r="AN40" s="2" t="s">
        <v>77</v>
      </c>
      <c r="AO40">
        <v>12</v>
      </c>
      <c r="AP40" s="2" t="s">
        <v>78</v>
      </c>
      <c r="AQ40" t="s">
        <v>78</v>
      </c>
      <c r="AR40" t="s">
        <v>64</v>
      </c>
      <c r="AS40" t="s">
        <v>117</v>
      </c>
      <c r="AT40" t="s">
        <v>64</v>
      </c>
      <c r="AU40" t="s">
        <v>102</v>
      </c>
      <c r="AV40" t="s">
        <v>83</v>
      </c>
      <c r="AW40" t="s">
        <v>118</v>
      </c>
      <c r="AX40">
        <v>821628112</v>
      </c>
      <c r="AY40" t="s">
        <v>201</v>
      </c>
      <c r="AZ40" s="1">
        <v>46228</v>
      </c>
      <c r="BC40" t="s">
        <v>86</v>
      </c>
      <c r="BD40" t="s">
        <v>244</v>
      </c>
      <c r="BE40" t="s">
        <v>88</v>
      </c>
      <c r="BG40" t="s">
        <v>280</v>
      </c>
      <c r="BH40">
        <v>39</v>
      </c>
    </row>
    <row r="41" spans="1:60" x14ac:dyDescent="0.3">
      <c r="A41" t="s">
        <v>324</v>
      </c>
      <c r="B41" s="1">
        <v>46024</v>
      </c>
      <c r="C41" t="s">
        <v>129</v>
      </c>
      <c r="D41" s="4" t="s">
        <v>352</v>
      </c>
      <c r="E41" t="s">
        <v>151</v>
      </c>
      <c r="F41">
        <v>11.612034299999999</v>
      </c>
      <c r="G41">
        <v>9.2189241000000006</v>
      </c>
      <c r="H41">
        <v>488.84719416352323</v>
      </c>
      <c r="I41">
        <v>28.943999999999999</v>
      </c>
      <c r="K41" t="s">
        <v>64</v>
      </c>
      <c r="L41">
        <f t="shared" ca="1" si="0"/>
        <v>48</v>
      </c>
      <c r="M41" t="s">
        <v>65</v>
      </c>
      <c r="N41" t="s">
        <v>66</v>
      </c>
      <c r="O41" t="s">
        <v>67</v>
      </c>
      <c r="P41" s="2" t="s">
        <v>94</v>
      </c>
      <c r="Q41" t="s">
        <v>95</v>
      </c>
      <c r="R41" t="s">
        <v>70</v>
      </c>
      <c r="S41">
        <v>1</v>
      </c>
      <c r="T41" s="2" t="s">
        <v>113</v>
      </c>
      <c r="U41" t="s">
        <v>72</v>
      </c>
      <c r="V41" s="2" t="s">
        <v>73</v>
      </c>
      <c r="W41" t="s">
        <v>116</v>
      </c>
      <c r="X41" s="2" t="s">
        <v>75</v>
      </c>
      <c r="Y41" t="s">
        <v>76</v>
      </c>
      <c r="Z41" t="s">
        <v>77</v>
      </c>
      <c r="AA41" s="2" t="s">
        <v>78</v>
      </c>
      <c r="AB41" s="2" t="s">
        <v>78</v>
      </c>
      <c r="AC41" s="2" t="s">
        <v>79</v>
      </c>
      <c r="AD41" s="2" t="s">
        <v>79</v>
      </c>
      <c r="AE41" s="2" t="s">
        <v>79</v>
      </c>
      <c r="AF41" s="2" t="s">
        <v>78</v>
      </c>
      <c r="AG41" t="s">
        <v>79</v>
      </c>
      <c r="AH41" t="s">
        <v>78</v>
      </c>
      <c r="AI41" t="s">
        <v>79</v>
      </c>
      <c r="AJ41" t="s">
        <v>78</v>
      </c>
      <c r="AK41" t="s">
        <v>80</v>
      </c>
      <c r="AL41" t="s">
        <v>70</v>
      </c>
      <c r="AM41" t="s">
        <v>64</v>
      </c>
      <c r="AN41" s="2" t="s">
        <v>101</v>
      </c>
      <c r="AO41">
        <v>12</v>
      </c>
      <c r="AP41" s="2" t="s">
        <v>78</v>
      </c>
      <c r="AQ41" t="s">
        <v>80</v>
      </c>
      <c r="AR41" t="s">
        <v>64</v>
      </c>
      <c r="AS41" t="s">
        <v>117</v>
      </c>
      <c r="AT41" t="s">
        <v>64</v>
      </c>
      <c r="AU41" t="s">
        <v>102</v>
      </c>
      <c r="AV41" t="s">
        <v>83</v>
      </c>
      <c r="AW41" t="s">
        <v>118</v>
      </c>
      <c r="AX41">
        <v>821628113</v>
      </c>
      <c r="AY41" t="s">
        <v>133</v>
      </c>
      <c r="AZ41" s="1">
        <v>46228</v>
      </c>
      <c r="BC41" t="s">
        <v>86</v>
      </c>
      <c r="BD41" t="s">
        <v>245</v>
      </c>
      <c r="BE41" t="s">
        <v>88</v>
      </c>
      <c r="BG41" t="s">
        <v>134</v>
      </c>
      <c r="BH41">
        <v>40</v>
      </c>
    </row>
    <row r="42" spans="1:60" x14ac:dyDescent="0.3">
      <c r="A42" t="s">
        <v>325</v>
      </c>
      <c r="B42" s="1">
        <v>46228</v>
      </c>
      <c r="C42" t="s">
        <v>129</v>
      </c>
      <c r="D42" s="3" t="s">
        <v>339</v>
      </c>
      <c r="E42" t="s">
        <v>152</v>
      </c>
      <c r="F42">
        <v>11.612034299999999</v>
      </c>
      <c r="G42">
        <v>9.2189241000000006</v>
      </c>
      <c r="H42">
        <v>488.84719416352323</v>
      </c>
      <c r="I42">
        <v>28.943999999999999</v>
      </c>
      <c r="K42" t="s">
        <v>64</v>
      </c>
      <c r="L42">
        <f t="shared" ca="1" si="0"/>
        <v>20</v>
      </c>
      <c r="M42" t="s">
        <v>65</v>
      </c>
      <c r="N42" t="s">
        <v>66</v>
      </c>
      <c r="O42" t="s">
        <v>67</v>
      </c>
      <c r="P42" s="2" t="s">
        <v>94</v>
      </c>
      <c r="Q42" t="s">
        <v>95</v>
      </c>
      <c r="R42" t="s">
        <v>70</v>
      </c>
      <c r="S42">
        <v>2</v>
      </c>
      <c r="T42" s="2" t="s">
        <v>113</v>
      </c>
      <c r="U42" t="s">
        <v>72</v>
      </c>
      <c r="V42" s="2" t="s">
        <v>73</v>
      </c>
      <c r="W42" t="s">
        <v>116</v>
      </c>
      <c r="X42" s="2" t="s">
        <v>75</v>
      </c>
      <c r="Y42" t="s">
        <v>76</v>
      </c>
      <c r="Z42" t="s">
        <v>77</v>
      </c>
      <c r="AA42" s="2" t="s">
        <v>78</v>
      </c>
      <c r="AB42" s="2" t="s">
        <v>78</v>
      </c>
      <c r="AC42" s="2" t="s">
        <v>80</v>
      </c>
      <c r="AD42" s="2" t="s">
        <v>79</v>
      </c>
      <c r="AE42" s="2" t="s">
        <v>79</v>
      </c>
      <c r="AF42" s="2" t="s">
        <v>78</v>
      </c>
      <c r="AG42" t="s">
        <v>79</v>
      </c>
      <c r="AH42" t="s">
        <v>78</v>
      </c>
      <c r="AI42" t="s">
        <v>79</v>
      </c>
      <c r="AJ42" t="s">
        <v>78</v>
      </c>
      <c r="AK42" t="s">
        <v>80</v>
      </c>
      <c r="AL42" t="s">
        <v>70</v>
      </c>
      <c r="AM42" t="s">
        <v>64</v>
      </c>
      <c r="AN42" s="2" t="s">
        <v>77</v>
      </c>
      <c r="AO42">
        <v>12</v>
      </c>
      <c r="AP42" s="2" t="s">
        <v>78</v>
      </c>
      <c r="AQ42" t="s">
        <v>78</v>
      </c>
      <c r="AR42" t="s">
        <v>64</v>
      </c>
      <c r="AS42" t="s">
        <v>81</v>
      </c>
      <c r="AT42" t="s">
        <v>64</v>
      </c>
      <c r="AU42" t="s">
        <v>82</v>
      </c>
      <c r="AV42" t="s">
        <v>83</v>
      </c>
      <c r="AW42" t="s">
        <v>84</v>
      </c>
      <c r="AX42">
        <v>821628114</v>
      </c>
      <c r="AY42" t="s">
        <v>85</v>
      </c>
      <c r="AZ42" s="1">
        <v>46228</v>
      </c>
      <c r="BC42" t="s">
        <v>86</v>
      </c>
      <c r="BD42" t="s">
        <v>246</v>
      </c>
      <c r="BE42" t="s">
        <v>88</v>
      </c>
      <c r="BG42" t="s">
        <v>89</v>
      </c>
      <c r="BH42">
        <v>41</v>
      </c>
    </row>
    <row r="43" spans="1:60" x14ac:dyDescent="0.3">
      <c r="A43" t="s">
        <v>326</v>
      </c>
      <c r="B43" s="1">
        <v>46023</v>
      </c>
      <c r="C43" t="s">
        <v>129</v>
      </c>
      <c r="D43" s="3" t="s">
        <v>340</v>
      </c>
      <c r="E43" t="s">
        <v>153</v>
      </c>
      <c r="F43">
        <v>11.612034299999999</v>
      </c>
      <c r="G43">
        <v>9.2189241000000006</v>
      </c>
      <c r="H43">
        <v>488.84719416352323</v>
      </c>
      <c r="I43">
        <v>28.943999999999999</v>
      </c>
      <c r="K43" t="s">
        <v>64</v>
      </c>
      <c r="L43">
        <f t="shared" ca="1" si="0"/>
        <v>35</v>
      </c>
      <c r="M43" t="s">
        <v>111</v>
      </c>
      <c r="N43" t="s">
        <v>66</v>
      </c>
      <c r="O43" t="s">
        <v>67</v>
      </c>
      <c r="P43" s="2" t="s">
        <v>94</v>
      </c>
      <c r="Q43" t="s">
        <v>95</v>
      </c>
      <c r="R43" t="s">
        <v>70</v>
      </c>
      <c r="S43">
        <v>2</v>
      </c>
      <c r="T43" s="2" t="s">
        <v>113</v>
      </c>
      <c r="U43" t="s">
        <v>72</v>
      </c>
      <c r="V43" s="2" t="s">
        <v>73</v>
      </c>
      <c r="W43" t="s">
        <v>116</v>
      </c>
      <c r="X43" s="2" t="s">
        <v>75</v>
      </c>
      <c r="Y43" t="s">
        <v>76</v>
      </c>
      <c r="Z43" t="s">
        <v>77</v>
      </c>
      <c r="AA43" s="2" t="s">
        <v>78</v>
      </c>
      <c r="AB43" s="2" t="s">
        <v>78</v>
      </c>
      <c r="AC43" s="2" t="s">
        <v>80</v>
      </c>
      <c r="AD43" s="2" t="s">
        <v>79</v>
      </c>
      <c r="AE43" s="2" t="s">
        <v>79</v>
      </c>
      <c r="AF43" s="2" t="s">
        <v>78</v>
      </c>
      <c r="AG43" t="s">
        <v>79</v>
      </c>
      <c r="AH43" t="s">
        <v>78</v>
      </c>
      <c r="AI43" t="s">
        <v>79</v>
      </c>
      <c r="AJ43" t="s">
        <v>78</v>
      </c>
      <c r="AK43" t="s">
        <v>80</v>
      </c>
      <c r="AL43" t="s">
        <v>70</v>
      </c>
      <c r="AM43" t="s">
        <v>64</v>
      </c>
      <c r="AN43" s="2" t="s">
        <v>101</v>
      </c>
      <c r="AO43">
        <v>12</v>
      </c>
      <c r="AP43" s="2" t="s">
        <v>78</v>
      </c>
      <c r="AQ43" t="s">
        <v>78</v>
      </c>
      <c r="AR43" t="s">
        <v>64</v>
      </c>
      <c r="AS43" t="s">
        <v>81</v>
      </c>
      <c r="AT43" t="s">
        <v>64</v>
      </c>
      <c r="AU43" t="s">
        <v>102</v>
      </c>
      <c r="AV43" t="s">
        <v>103</v>
      </c>
      <c r="AW43" t="s">
        <v>104</v>
      </c>
      <c r="AX43">
        <v>821628115</v>
      </c>
      <c r="AY43" t="s">
        <v>202</v>
      </c>
      <c r="AZ43" s="1">
        <v>46228</v>
      </c>
      <c r="BC43" t="s">
        <v>86</v>
      </c>
      <c r="BD43" t="s">
        <v>247</v>
      </c>
      <c r="BE43" t="s">
        <v>88</v>
      </c>
      <c r="BG43" t="s">
        <v>281</v>
      </c>
      <c r="BH43">
        <v>42</v>
      </c>
    </row>
    <row r="44" spans="1:60" x14ac:dyDescent="0.3">
      <c r="A44" t="s">
        <v>327</v>
      </c>
      <c r="B44" s="1">
        <v>46025</v>
      </c>
      <c r="C44" t="s">
        <v>129</v>
      </c>
      <c r="D44" s="3" t="s">
        <v>341</v>
      </c>
      <c r="E44" t="s">
        <v>154</v>
      </c>
      <c r="F44">
        <v>11.612034299999999</v>
      </c>
      <c r="G44">
        <v>9.2189241000000006</v>
      </c>
      <c r="H44">
        <v>488.84719416352323</v>
      </c>
      <c r="I44">
        <v>28.943999999999999</v>
      </c>
      <c r="K44" t="s">
        <v>64</v>
      </c>
      <c r="L44">
        <f t="shared" ca="1" si="0"/>
        <v>25</v>
      </c>
      <c r="M44" t="s">
        <v>111</v>
      </c>
      <c r="N44" t="s">
        <v>66</v>
      </c>
      <c r="O44" t="s">
        <v>67</v>
      </c>
      <c r="P44" s="2" t="s">
        <v>94</v>
      </c>
      <c r="Q44" t="s">
        <v>95</v>
      </c>
      <c r="R44" t="s">
        <v>70</v>
      </c>
      <c r="S44">
        <v>2</v>
      </c>
      <c r="T44" s="2" t="s">
        <v>113</v>
      </c>
      <c r="U44" t="s">
        <v>72</v>
      </c>
      <c r="V44" s="2" t="s">
        <v>73</v>
      </c>
      <c r="W44" t="s">
        <v>116</v>
      </c>
      <c r="X44" s="2" t="s">
        <v>75</v>
      </c>
      <c r="Y44" t="s">
        <v>76</v>
      </c>
      <c r="Z44" t="s">
        <v>77</v>
      </c>
      <c r="AA44" s="2" t="s">
        <v>78</v>
      </c>
      <c r="AB44" s="2" t="s">
        <v>78</v>
      </c>
      <c r="AC44" s="2" t="s">
        <v>80</v>
      </c>
      <c r="AD44" s="2" t="s">
        <v>78</v>
      </c>
      <c r="AE44" s="2" t="s">
        <v>79</v>
      </c>
      <c r="AF44" s="2" t="s">
        <v>78</v>
      </c>
      <c r="AG44" t="s">
        <v>79</v>
      </c>
      <c r="AH44" t="s">
        <v>78</v>
      </c>
      <c r="AI44" t="s">
        <v>79</v>
      </c>
      <c r="AJ44" t="s">
        <v>78</v>
      </c>
      <c r="AK44" t="s">
        <v>80</v>
      </c>
      <c r="AL44" t="s">
        <v>70</v>
      </c>
      <c r="AM44" t="s">
        <v>64</v>
      </c>
      <c r="AN44" s="2" t="s">
        <v>77</v>
      </c>
      <c r="AO44">
        <v>12</v>
      </c>
      <c r="AP44" s="2" t="s">
        <v>78</v>
      </c>
      <c r="AQ44" t="s">
        <v>80</v>
      </c>
      <c r="AR44" t="s">
        <v>64</v>
      </c>
      <c r="AS44" t="s">
        <v>117</v>
      </c>
      <c r="AT44" t="s">
        <v>64</v>
      </c>
      <c r="AU44" t="s">
        <v>102</v>
      </c>
      <c r="AV44" t="s">
        <v>83</v>
      </c>
      <c r="AW44" t="s">
        <v>118</v>
      </c>
      <c r="AX44">
        <v>821628116</v>
      </c>
      <c r="AY44" t="s">
        <v>203</v>
      </c>
      <c r="AZ44" s="1">
        <v>46228</v>
      </c>
      <c r="BC44" t="s">
        <v>86</v>
      </c>
      <c r="BD44" t="s">
        <v>248</v>
      </c>
      <c r="BE44" t="s">
        <v>88</v>
      </c>
      <c r="BG44" t="s">
        <v>282</v>
      </c>
      <c r="BH44">
        <v>43</v>
      </c>
    </row>
    <row r="45" spans="1:60" x14ac:dyDescent="0.3">
      <c r="A45" t="s">
        <v>328</v>
      </c>
      <c r="B45" s="1">
        <v>46030</v>
      </c>
      <c r="C45" t="s">
        <v>129</v>
      </c>
      <c r="D45" s="3" t="s">
        <v>342</v>
      </c>
      <c r="E45" t="s">
        <v>93</v>
      </c>
      <c r="F45">
        <v>11.612084400000001</v>
      </c>
      <c r="G45">
        <v>9.2188858000000007</v>
      </c>
      <c r="H45">
        <v>490.44116404741271</v>
      </c>
      <c r="I45">
        <v>4.8239999999999998</v>
      </c>
      <c r="K45" t="s">
        <v>64</v>
      </c>
      <c r="L45">
        <f t="shared" ca="1" si="0"/>
        <v>31</v>
      </c>
      <c r="M45" t="s">
        <v>111</v>
      </c>
      <c r="N45" t="s">
        <v>66</v>
      </c>
      <c r="O45" t="s">
        <v>67</v>
      </c>
      <c r="P45" s="2" t="s">
        <v>94</v>
      </c>
      <c r="Q45" t="s">
        <v>95</v>
      </c>
      <c r="R45" t="s">
        <v>70</v>
      </c>
      <c r="S45">
        <v>2</v>
      </c>
      <c r="T45" s="2" t="s">
        <v>113</v>
      </c>
      <c r="U45" t="s">
        <v>72</v>
      </c>
      <c r="V45" s="2" t="s">
        <v>115</v>
      </c>
      <c r="W45" s="2" t="s">
        <v>74</v>
      </c>
      <c r="X45" s="2" t="s">
        <v>99</v>
      </c>
      <c r="Y45" t="s">
        <v>76</v>
      </c>
      <c r="Z45" t="s">
        <v>77</v>
      </c>
      <c r="AA45" s="2" t="s">
        <v>79</v>
      </c>
      <c r="AB45" s="2" t="s">
        <v>78</v>
      </c>
      <c r="AC45" s="2" t="s">
        <v>80</v>
      </c>
      <c r="AD45" s="2" t="s">
        <v>78</v>
      </c>
      <c r="AE45" s="2" t="s">
        <v>79</v>
      </c>
      <c r="AF45" s="2" t="s">
        <v>78</v>
      </c>
      <c r="AG45" t="s">
        <v>79</v>
      </c>
      <c r="AH45" t="s">
        <v>78</v>
      </c>
      <c r="AI45" t="s">
        <v>79</v>
      </c>
      <c r="AJ45" t="s">
        <v>78</v>
      </c>
      <c r="AK45" t="s">
        <v>80</v>
      </c>
      <c r="AL45" t="s">
        <v>70</v>
      </c>
      <c r="AM45" t="s">
        <v>64</v>
      </c>
      <c r="AN45" s="2" t="s">
        <v>101</v>
      </c>
      <c r="AO45">
        <v>12</v>
      </c>
      <c r="AP45" s="2" t="s">
        <v>78</v>
      </c>
      <c r="AQ45" t="s">
        <v>78</v>
      </c>
      <c r="AR45" t="s">
        <v>64</v>
      </c>
      <c r="AS45" t="s">
        <v>117</v>
      </c>
      <c r="AT45" t="s">
        <v>64</v>
      </c>
      <c r="AU45" t="s">
        <v>102</v>
      </c>
      <c r="AV45" t="s">
        <v>83</v>
      </c>
      <c r="AW45" t="s">
        <v>118</v>
      </c>
      <c r="AX45">
        <v>821628117</v>
      </c>
      <c r="AY45" t="s">
        <v>204</v>
      </c>
      <c r="AZ45" s="1">
        <v>46228</v>
      </c>
      <c r="BC45" t="s">
        <v>86</v>
      </c>
      <c r="BD45" t="s">
        <v>249</v>
      </c>
      <c r="BE45" t="s">
        <v>88</v>
      </c>
      <c r="BG45" t="s">
        <v>283</v>
      </c>
      <c r="BH45">
        <v>44</v>
      </c>
    </row>
    <row r="46" spans="1:60" x14ac:dyDescent="0.3">
      <c r="A46" t="s">
        <v>329</v>
      </c>
      <c r="B46" s="1">
        <v>46024</v>
      </c>
      <c r="C46" t="s">
        <v>129</v>
      </c>
      <c r="D46" s="3" t="s">
        <v>343</v>
      </c>
      <c r="E46" t="s">
        <v>135</v>
      </c>
      <c r="F46">
        <v>11.612084400000001</v>
      </c>
      <c r="G46">
        <v>9.2188858000000007</v>
      </c>
      <c r="H46">
        <v>490.44116404741271</v>
      </c>
      <c r="I46">
        <v>4.8239999999999998</v>
      </c>
      <c r="K46" t="s">
        <v>64</v>
      </c>
      <c r="L46">
        <f t="shared" ca="1" si="0"/>
        <v>45</v>
      </c>
      <c r="M46" t="s">
        <v>111</v>
      </c>
      <c r="N46" t="s">
        <v>66</v>
      </c>
      <c r="O46" t="s">
        <v>67</v>
      </c>
      <c r="P46" s="2" t="s">
        <v>68</v>
      </c>
      <c r="Q46" t="s">
        <v>95</v>
      </c>
      <c r="R46" t="s">
        <v>70</v>
      </c>
      <c r="S46">
        <v>2</v>
      </c>
      <c r="T46" s="2" t="s">
        <v>113</v>
      </c>
      <c r="U46" t="s">
        <v>72</v>
      </c>
      <c r="V46" s="2" t="s">
        <v>115</v>
      </c>
      <c r="W46" s="2" t="s">
        <v>74</v>
      </c>
      <c r="X46" s="2" t="s">
        <v>99</v>
      </c>
      <c r="Y46" t="s">
        <v>76</v>
      </c>
      <c r="Z46" t="s">
        <v>77</v>
      </c>
      <c r="AA46" s="2" t="s">
        <v>79</v>
      </c>
      <c r="AB46" s="2" t="s">
        <v>78</v>
      </c>
      <c r="AC46" s="2" t="s">
        <v>80</v>
      </c>
      <c r="AD46" s="2" t="s">
        <v>78</v>
      </c>
      <c r="AE46" s="2" t="s">
        <v>79</v>
      </c>
      <c r="AF46" s="2" t="s">
        <v>78</v>
      </c>
      <c r="AG46" t="s">
        <v>79</v>
      </c>
      <c r="AH46" t="s">
        <v>78</v>
      </c>
      <c r="AI46" t="s">
        <v>79</v>
      </c>
      <c r="AJ46" t="s">
        <v>78</v>
      </c>
      <c r="AK46" t="s">
        <v>80</v>
      </c>
      <c r="AL46" t="s">
        <v>70</v>
      </c>
      <c r="AM46" t="s">
        <v>64</v>
      </c>
      <c r="AN46" s="2" t="s">
        <v>77</v>
      </c>
      <c r="AO46">
        <v>12</v>
      </c>
      <c r="AP46" s="2" t="s">
        <v>78</v>
      </c>
      <c r="AQ46" t="s">
        <v>80</v>
      </c>
      <c r="AR46" t="s">
        <v>64</v>
      </c>
      <c r="AS46" t="s">
        <v>117</v>
      </c>
      <c r="AT46" t="s">
        <v>64</v>
      </c>
      <c r="AU46" t="s">
        <v>102</v>
      </c>
      <c r="AV46" t="s">
        <v>83</v>
      </c>
      <c r="AW46" t="s">
        <v>118</v>
      </c>
      <c r="AX46">
        <v>821628118</v>
      </c>
      <c r="AY46" t="s">
        <v>133</v>
      </c>
      <c r="AZ46" s="1">
        <v>46228</v>
      </c>
      <c r="BC46" t="s">
        <v>86</v>
      </c>
      <c r="BD46" t="s">
        <v>250</v>
      </c>
      <c r="BE46" t="s">
        <v>88</v>
      </c>
      <c r="BG46" t="s">
        <v>134</v>
      </c>
      <c r="BH46">
        <v>45</v>
      </c>
    </row>
    <row r="47" spans="1:60" x14ac:dyDescent="0.3">
      <c r="A47" t="s">
        <v>330</v>
      </c>
      <c r="B47" s="1">
        <v>46228</v>
      </c>
      <c r="C47" t="s">
        <v>129</v>
      </c>
      <c r="D47" t="s">
        <v>62</v>
      </c>
      <c r="E47" t="s">
        <v>136</v>
      </c>
      <c r="F47">
        <v>11.612084400000001</v>
      </c>
      <c r="G47">
        <v>9.2188858000000007</v>
      </c>
      <c r="H47">
        <v>490.44116404741271</v>
      </c>
      <c r="I47">
        <v>4.8239999999999998</v>
      </c>
      <c r="K47" t="s">
        <v>64</v>
      </c>
      <c r="L47">
        <f t="shared" ca="1" si="0"/>
        <v>36</v>
      </c>
      <c r="M47" t="s">
        <v>111</v>
      </c>
      <c r="N47" t="s">
        <v>66</v>
      </c>
      <c r="O47" t="s">
        <v>67</v>
      </c>
      <c r="P47" s="2" t="s">
        <v>68</v>
      </c>
      <c r="Q47" t="s">
        <v>95</v>
      </c>
      <c r="R47" t="s">
        <v>70</v>
      </c>
      <c r="S47">
        <v>2</v>
      </c>
      <c r="T47" s="2" t="s">
        <v>125</v>
      </c>
      <c r="U47" t="s">
        <v>72</v>
      </c>
      <c r="V47" s="2" t="s">
        <v>115</v>
      </c>
      <c r="W47" s="2" t="s">
        <v>74</v>
      </c>
      <c r="X47" s="2" t="s">
        <v>99</v>
      </c>
      <c r="Y47" t="s">
        <v>76</v>
      </c>
      <c r="Z47" t="s">
        <v>77</v>
      </c>
      <c r="AA47" s="2" t="s">
        <v>79</v>
      </c>
      <c r="AB47" s="2" t="s">
        <v>78</v>
      </c>
      <c r="AC47" s="2" t="s">
        <v>80</v>
      </c>
      <c r="AD47" s="2" t="s">
        <v>78</v>
      </c>
      <c r="AE47" s="2" t="s">
        <v>79</v>
      </c>
      <c r="AF47" s="2" t="s">
        <v>79</v>
      </c>
      <c r="AG47" t="s">
        <v>79</v>
      </c>
      <c r="AH47" t="s">
        <v>78</v>
      </c>
      <c r="AI47" t="s">
        <v>79</v>
      </c>
      <c r="AJ47" t="s">
        <v>78</v>
      </c>
      <c r="AK47" t="s">
        <v>80</v>
      </c>
      <c r="AL47" t="s">
        <v>70</v>
      </c>
      <c r="AM47" t="s">
        <v>64</v>
      </c>
      <c r="AN47" s="2" t="s">
        <v>101</v>
      </c>
      <c r="AO47">
        <v>12</v>
      </c>
      <c r="AP47" s="2" t="s">
        <v>78</v>
      </c>
      <c r="AQ47" t="s">
        <v>78</v>
      </c>
      <c r="AR47" t="s">
        <v>64</v>
      </c>
      <c r="AS47" t="s">
        <v>81</v>
      </c>
      <c r="AT47" t="s">
        <v>64</v>
      </c>
      <c r="AU47" t="s">
        <v>82</v>
      </c>
      <c r="AV47" t="s">
        <v>83</v>
      </c>
      <c r="AW47" t="s">
        <v>84</v>
      </c>
      <c r="AX47">
        <v>821628119</v>
      </c>
      <c r="AY47" t="s">
        <v>85</v>
      </c>
      <c r="AZ47" s="1">
        <v>46228</v>
      </c>
      <c r="BC47" t="s">
        <v>86</v>
      </c>
      <c r="BD47" t="s">
        <v>251</v>
      </c>
      <c r="BE47" t="s">
        <v>88</v>
      </c>
      <c r="BG47" t="s">
        <v>89</v>
      </c>
      <c r="BH47">
        <v>46</v>
      </c>
    </row>
    <row r="48" spans="1:60" x14ac:dyDescent="0.3">
      <c r="A48" t="s">
        <v>331</v>
      </c>
      <c r="B48" s="1">
        <v>46023</v>
      </c>
      <c r="C48" t="s">
        <v>129</v>
      </c>
      <c r="D48" t="s">
        <v>92</v>
      </c>
      <c r="E48" t="s">
        <v>137</v>
      </c>
      <c r="F48">
        <v>11.612084400000001</v>
      </c>
      <c r="G48">
        <v>9.2188858000000007</v>
      </c>
      <c r="H48">
        <v>490.44116404741271</v>
      </c>
      <c r="I48">
        <v>4.8239999999999998</v>
      </c>
      <c r="K48" t="s">
        <v>64</v>
      </c>
      <c r="L48">
        <f t="shared" ca="1" si="0"/>
        <v>20</v>
      </c>
      <c r="M48" t="s">
        <v>111</v>
      </c>
      <c r="N48" t="s">
        <v>66</v>
      </c>
      <c r="O48" t="s">
        <v>67</v>
      </c>
      <c r="P48" s="2" t="s">
        <v>68</v>
      </c>
      <c r="Q48" s="2" t="s">
        <v>112</v>
      </c>
      <c r="R48" t="s">
        <v>70</v>
      </c>
      <c r="S48">
        <v>2</v>
      </c>
      <c r="T48" s="2" t="s">
        <v>125</v>
      </c>
      <c r="U48" t="s">
        <v>72</v>
      </c>
      <c r="V48" s="2" t="s">
        <v>115</v>
      </c>
      <c r="W48" s="2" t="s">
        <v>74</v>
      </c>
      <c r="X48" s="2" t="s">
        <v>99</v>
      </c>
      <c r="Y48" t="s">
        <v>76</v>
      </c>
      <c r="Z48" t="s">
        <v>77</v>
      </c>
      <c r="AA48" s="2" t="s">
        <v>79</v>
      </c>
      <c r="AB48" s="2" t="s">
        <v>79</v>
      </c>
      <c r="AC48" s="2" t="s">
        <v>80</v>
      </c>
      <c r="AD48" s="2" t="s">
        <v>78</v>
      </c>
      <c r="AE48" s="2" t="s">
        <v>79</v>
      </c>
      <c r="AF48" s="2" t="s">
        <v>79</v>
      </c>
      <c r="AG48" t="s">
        <v>79</v>
      </c>
      <c r="AH48" t="s">
        <v>78</v>
      </c>
      <c r="AI48" t="s">
        <v>79</v>
      </c>
      <c r="AJ48" t="s">
        <v>78</v>
      </c>
      <c r="AK48" t="s">
        <v>80</v>
      </c>
      <c r="AL48" t="s">
        <v>70</v>
      </c>
      <c r="AM48" t="s">
        <v>64</v>
      </c>
      <c r="AN48" s="2" t="s">
        <v>77</v>
      </c>
      <c r="AO48">
        <v>12</v>
      </c>
      <c r="AP48" s="2" t="s">
        <v>78</v>
      </c>
      <c r="AQ48" t="s">
        <v>78</v>
      </c>
      <c r="AR48" t="s">
        <v>64</v>
      </c>
      <c r="AS48" t="s">
        <v>81</v>
      </c>
      <c r="AT48" t="s">
        <v>64</v>
      </c>
      <c r="AU48" t="s">
        <v>102</v>
      </c>
      <c r="AV48" t="s">
        <v>103</v>
      </c>
      <c r="AW48" t="s">
        <v>104</v>
      </c>
      <c r="AX48">
        <v>821628120</v>
      </c>
      <c r="AY48" t="s">
        <v>205</v>
      </c>
      <c r="AZ48" s="1">
        <v>46228</v>
      </c>
      <c r="BC48" t="s">
        <v>86</v>
      </c>
      <c r="BD48" t="s">
        <v>252</v>
      </c>
      <c r="BE48" t="s">
        <v>88</v>
      </c>
      <c r="BG48" t="s">
        <v>284</v>
      </c>
      <c r="BH48">
        <v>47</v>
      </c>
    </row>
    <row r="49" spans="1:60" x14ac:dyDescent="0.3">
      <c r="A49" t="s">
        <v>332</v>
      </c>
      <c r="B49" s="1">
        <v>46025</v>
      </c>
      <c r="C49" t="s">
        <v>129</v>
      </c>
      <c r="D49" t="s">
        <v>109</v>
      </c>
      <c r="E49" t="s">
        <v>138</v>
      </c>
      <c r="F49">
        <v>11.612084400000001</v>
      </c>
      <c r="G49">
        <v>9.2188858000000007</v>
      </c>
      <c r="H49">
        <v>490.44116404741271</v>
      </c>
      <c r="I49">
        <v>4.8239999999999998</v>
      </c>
      <c r="K49" t="s">
        <v>64</v>
      </c>
      <c r="L49">
        <f t="shared" ca="1" si="0"/>
        <v>49</v>
      </c>
      <c r="M49" t="s">
        <v>111</v>
      </c>
      <c r="N49" t="s">
        <v>66</v>
      </c>
      <c r="O49" t="s">
        <v>67</v>
      </c>
      <c r="P49" s="2" t="s">
        <v>68</v>
      </c>
      <c r="Q49" s="2" t="s">
        <v>112</v>
      </c>
      <c r="R49" t="s">
        <v>70</v>
      </c>
      <c r="S49">
        <v>2</v>
      </c>
      <c r="T49" s="2" t="s">
        <v>125</v>
      </c>
      <c r="U49" t="s">
        <v>72</v>
      </c>
      <c r="V49" s="2" t="s">
        <v>115</v>
      </c>
      <c r="W49" s="2" t="s">
        <v>74</v>
      </c>
      <c r="X49" s="2" t="s">
        <v>99</v>
      </c>
      <c r="Y49" t="s">
        <v>76</v>
      </c>
      <c r="Z49" t="s">
        <v>77</v>
      </c>
      <c r="AA49" s="2" t="s">
        <v>79</v>
      </c>
      <c r="AB49" s="2" t="s">
        <v>79</v>
      </c>
      <c r="AC49" s="2" t="s">
        <v>80</v>
      </c>
      <c r="AD49" s="2" t="s">
        <v>78</v>
      </c>
      <c r="AE49" s="2" t="s">
        <v>79</v>
      </c>
      <c r="AF49" s="2" t="s">
        <v>79</v>
      </c>
      <c r="AG49" t="s">
        <v>79</v>
      </c>
      <c r="AH49" t="s">
        <v>78</v>
      </c>
      <c r="AI49" t="s">
        <v>79</v>
      </c>
      <c r="AJ49" t="s">
        <v>78</v>
      </c>
      <c r="AK49" t="s">
        <v>80</v>
      </c>
      <c r="AL49" t="s">
        <v>70</v>
      </c>
      <c r="AM49" t="s">
        <v>64</v>
      </c>
      <c r="AN49" s="2" t="s">
        <v>101</v>
      </c>
      <c r="AO49">
        <v>12</v>
      </c>
      <c r="AP49" s="2" t="s">
        <v>78</v>
      </c>
      <c r="AQ49" t="s">
        <v>80</v>
      </c>
      <c r="AR49" t="s">
        <v>64</v>
      </c>
      <c r="AS49" t="s">
        <v>117</v>
      </c>
      <c r="AT49" t="s">
        <v>64</v>
      </c>
      <c r="AU49" t="s">
        <v>102</v>
      </c>
      <c r="AV49" t="s">
        <v>83</v>
      </c>
      <c r="AW49" t="s">
        <v>118</v>
      </c>
      <c r="AX49">
        <v>821628121</v>
      </c>
      <c r="AY49" t="s">
        <v>206</v>
      </c>
      <c r="AZ49" s="1">
        <v>46228</v>
      </c>
      <c r="BC49" t="s">
        <v>86</v>
      </c>
      <c r="BD49" t="s">
        <v>253</v>
      </c>
      <c r="BE49" t="s">
        <v>88</v>
      </c>
      <c r="BG49" t="s">
        <v>285</v>
      </c>
      <c r="BH49">
        <v>48</v>
      </c>
    </row>
    <row r="50" spans="1:60" x14ac:dyDescent="0.3">
      <c r="A50" t="s">
        <v>333</v>
      </c>
      <c r="B50" s="1">
        <v>46030</v>
      </c>
      <c r="C50" t="s">
        <v>129</v>
      </c>
      <c r="D50" t="s">
        <v>123</v>
      </c>
      <c r="E50" t="s">
        <v>139</v>
      </c>
      <c r="F50">
        <v>11.612084400000001</v>
      </c>
      <c r="G50">
        <v>9.2188858000000007</v>
      </c>
      <c r="H50">
        <v>490.44116404741271</v>
      </c>
      <c r="I50">
        <v>4.8239999999999998</v>
      </c>
      <c r="K50" t="s">
        <v>64</v>
      </c>
      <c r="L50">
        <f t="shared" ca="1" si="0"/>
        <v>29</v>
      </c>
      <c r="M50" t="s">
        <v>111</v>
      </c>
      <c r="N50" t="s">
        <v>66</v>
      </c>
      <c r="O50" t="s">
        <v>67</v>
      </c>
      <c r="P50" s="2" t="s">
        <v>68</v>
      </c>
      <c r="Q50" s="2" t="s">
        <v>112</v>
      </c>
      <c r="R50" t="s">
        <v>70</v>
      </c>
      <c r="S50">
        <v>2</v>
      </c>
      <c r="T50" s="2" t="s">
        <v>125</v>
      </c>
      <c r="U50" t="s">
        <v>72</v>
      </c>
      <c r="V50" s="2" t="s">
        <v>115</v>
      </c>
      <c r="W50" s="2" t="s">
        <v>74</v>
      </c>
      <c r="X50" s="2" t="s">
        <v>99</v>
      </c>
      <c r="Y50" t="s">
        <v>76</v>
      </c>
      <c r="Z50" t="s">
        <v>77</v>
      </c>
      <c r="AA50" s="2" t="s">
        <v>79</v>
      </c>
      <c r="AB50" s="2" t="s">
        <v>79</v>
      </c>
      <c r="AC50" s="2" t="s">
        <v>80</v>
      </c>
      <c r="AD50" s="2" t="s">
        <v>78</v>
      </c>
      <c r="AE50" s="2" t="s">
        <v>79</v>
      </c>
      <c r="AF50" s="2" t="s">
        <v>79</v>
      </c>
      <c r="AG50" t="s">
        <v>79</v>
      </c>
      <c r="AH50" t="s">
        <v>78</v>
      </c>
      <c r="AI50" t="s">
        <v>79</v>
      </c>
      <c r="AJ50" t="s">
        <v>78</v>
      </c>
      <c r="AK50" t="s">
        <v>80</v>
      </c>
      <c r="AL50" t="s">
        <v>70</v>
      </c>
      <c r="AM50" t="s">
        <v>64</v>
      </c>
      <c r="AN50" s="2" t="s">
        <v>77</v>
      </c>
      <c r="AO50">
        <v>12</v>
      </c>
      <c r="AP50" s="2" t="s">
        <v>78</v>
      </c>
      <c r="AQ50" t="s">
        <v>78</v>
      </c>
      <c r="AR50" t="s">
        <v>64</v>
      </c>
      <c r="AS50" t="s">
        <v>117</v>
      </c>
      <c r="AT50" t="s">
        <v>64</v>
      </c>
      <c r="AU50" t="s">
        <v>102</v>
      </c>
      <c r="AV50" t="s">
        <v>83</v>
      </c>
      <c r="AW50" t="s">
        <v>118</v>
      </c>
      <c r="AX50">
        <v>821628122</v>
      </c>
      <c r="AY50" t="s">
        <v>207</v>
      </c>
      <c r="AZ50" s="1">
        <v>46228</v>
      </c>
      <c r="BC50" t="s">
        <v>86</v>
      </c>
      <c r="BD50" t="s">
        <v>254</v>
      </c>
      <c r="BE50" t="s">
        <v>88</v>
      </c>
      <c r="BG50" t="s">
        <v>286</v>
      </c>
      <c r="BH50">
        <v>49</v>
      </c>
    </row>
    <row r="51" spans="1:60" x14ac:dyDescent="0.3">
      <c r="A51" t="s">
        <v>334</v>
      </c>
      <c r="B51" s="1">
        <v>46024</v>
      </c>
      <c r="C51" t="s">
        <v>129</v>
      </c>
      <c r="D51" t="s">
        <v>130</v>
      </c>
      <c r="E51" t="s">
        <v>140</v>
      </c>
      <c r="F51">
        <v>11.612084400000001</v>
      </c>
      <c r="G51">
        <v>9.2188858000000007</v>
      </c>
      <c r="H51">
        <v>490.44116404741271</v>
      </c>
      <c r="I51">
        <v>4.8239999999999998</v>
      </c>
      <c r="K51" t="s">
        <v>64</v>
      </c>
      <c r="L51">
        <f t="shared" ca="1" si="0"/>
        <v>41</v>
      </c>
      <c r="M51" t="s">
        <v>65</v>
      </c>
      <c r="N51" t="s">
        <v>66</v>
      </c>
      <c r="O51" t="s">
        <v>67</v>
      </c>
      <c r="P51" s="2" t="s">
        <v>68</v>
      </c>
      <c r="Q51" s="2" t="s">
        <v>112</v>
      </c>
      <c r="R51" t="s">
        <v>70</v>
      </c>
      <c r="S51">
        <v>2</v>
      </c>
      <c r="T51" s="2" t="s">
        <v>125</v>
      </c>
      <c r="U51" t="s">
        <v>72</v>
      </c>
      <c r="V51" s="2" t="s">
        <v>115</v>
      </c>
      <c r="W51" s="2" t="s">
        <v>74</v>
      </c>
      <c r="X51" s="2" t="s">
        <v>99</v>
      </c>
      <c r="Y51" t="s">
        <v>76</v>
      </c>
      <c r="Z51" t="s">
        <v>77</v>
      </c>
      <c r="AA51" s="2" t="s">
        <v>79</v>
      </c>
      <c r="AB51" s="2" t="s">
        <v>79</v>
      </c>
      <c r="AC51" s="2" t="s">
        <v>80</v>
      </c>
      <c r="AD51" s="2" t="s">
        <v>78</v>
      </c>
      <c r="AE51" s="2" t="s">
        <v>79</v>
      </c>
      <c r="AF51" s="2" t="s">
        <v>79</v>
      </c>
      <c r="AG51" t="s">
        <v>79</v>
      </c>
      <c r="AH51" t="s">
        <v>78</v>
      </c>
      <c r="AI51" t="s">
        <v>79</v>
      </c>
      <c r="AJ51" t="s">
        <v>78</v>
      </c>
      <c r="AK51" t="s">
        <v>80</v>
      </c>
      <c r="AL51" t="s">
        <v>70</v>
      </c>
      <c r="AM51" t="s">
        <v>64</v>
      </c>
      <c r="AN51" s="2" t="s">
        <v>101</v>
      </c>
      <c r="AO51">
        <v>12</v>
      </c>
      <c r="AP51" s="2" t="s">
        <v>78</v>
      </c>
      <c r="AQ51" t="s">
        <v>80</v>
      </c>
      <c r="AR51" t="s">
        <v>64</v>
      </c>
      <c r="AS51" t="s">
        <v>117</v>
      </c>
      <c r="AT51" t="s">
        <v>64</v>
      </c>
      <c r="AU51" t="s">
        <v>102</v>
      </c>
      <c r="AV51" t="s">
        <v>83</v>
      </c>
      <c r="AW51" t="s">
        <v>118</v>
      </c>
      <c r="AX51">
        <v>821628123</v>
      </c>
      <c r="AY51" t="s">
        <v>133</v>
      </c>
      <c r="AZ51" s="1">
        <v>46228</v>
      </c>
      <c r="BC51" t="s">
        <v>86</v>
      </c>
      <c r="BD51" t="s">
        <v>255</v>
      </c>
      <c r="BE51" t="s">
        <v>88</v>
      </c>
      <c r="BG51" t="s">
        <v>134</v>
      </c>
      <c r="BH51">
        <v>50</v>
      </c>
    </row>
    <row r="52" spans="1:60" x14ac:dyDescent="0.3">
      <c r="A52" t="s">
        <v>335</v>
      </c>
      <c r="B52" s="1">
        <v>46228</v>
      </c>
      <c r="C52" t="s">
        <v>129</v>
      </c>
      <c r="D52" s="4" t="s">
        <v>344</v>
      </c>
      <c r="E52" t="s">
        <v>141</v>
      </c>
      <c r="F52">
        <v>11.612084400000001</v>
      </c>
      <c r="G52">
        <v>9.2188858000000007</v>
      </c>
      <c r="H52">
        <v>490.44116404741271</v>
      </c>
      <c r="I52">
        <v>4.8239999999999998</v>
      </c>
      <c r="K52" t="s">
        <v>64</v>
      </c>
      <c r="L52">
        <f t="shared" ca="1" si="0"/>
        <v>43</v>
      </c>
      <c r="M52" t="s">
        <v>65</v>
      </c>
      <c r="N52" t="s">
        <v>66</v>
      </c>
      <c r="O52" t="s">
        <v>67</v>
      </c>
      <c r="P52" s="2" t="s">
        <v>68</v>
      </c>
      <c r="Q52" s="2" t="s">
        <v>112</v>
      </c>
      <c r="R52" t="s">
        <v>70</v>
      </c>
      <c r="S52">
        <v>2</v>
      </c>
      <c r="T52" s="2" t="s">
        <v>125</v>
      </c>
      <c r="U52" t="s">
        <v>72</v>
      </c>
      <c r="V52" s="2" t="s">
        <v>115</v>
      </c>
      <c r="W52" s="2" t="s">
        <v>74</v>
      </c>
      <c r="X52" s="2" t="s">
        <v>99</v>
      </c>
      <c r="Y52" t="s">
        <v>76</v>
      </c>
      <c r="Z52" t="s">
        <v>77</v>
      </c>
      <c r="AA52" s="2" t="s">
        <v>79</v>
      </c>
      <c r="AB52" s="2" t="s">
        <v>79</v>
      </c>
      <c r="AC52" s="2" t="s">
        <v>80</v>
      </c>
      <c r="AD52" s="2" t="s">
        <v>78</v>
      </c>
      <c r="AE52" s="2" t="s">
        <v>79</v>
      </c>
      <c r="AF52" s="2" t="s">
        <v>79</v>
      </c>
      <c r="AG52" t="s">
        <v>79</v>
      </c>
      <c r="AH52" t="s">
        <v>78</v>
      </c>
      <c r="AI52" t="s">
        <v>79</v>
      </c>
      <c r="AJ52" t="s">
        <v>78</v>
      </c>
      <c r="AK52" t="s">
        <v>80</v>
      </c>
      <c r="AL52" t="s">
        <v>70</v>
      </c>
      <c r="AM52" t="s">
        <v>64</v>
      </c>
      <c r="AN52" s="2" t="s">
        <v>101</v>
      </c>
      <c r="AO52">
        <v>12</v>
      </c>
      <c r="AP52" s="2" t="s">
        <v>78</v>
      </c>
      <c r="AQ52" t="s">
        <v>78</v>
      </c>
      <c r="AR52" t="s">
        <v>64</v>
      </c>
      <c r="AS52" t="s">
        <v>81</v>
      </c>
      <c r="AT52" t="s">
        <v>64</v>
      </c>
      <c r="AU52" t="s">
        <v>82</v>
      </c>
      <c r="AV52" t="s">
        <v>83</v>
      </c>
      <c r="AW52" t="s">
        <v>84</v>
      </c>
      <c r="AX52">
        <v>821628124</v>
      </c>
      <c r="AY52" t="s">
        <v>85</v>
      </c>
      <c r="AZ52" s="1">
        <v>46228</v>
      </c>
      <c r="BC52" t="s">
        <v>86</v>
      </c>
      <c r="BD52" t="s">
        <v>256</v>
      </c>
      <c r="BE52" t="s">
        <v>88</v>
      </c>
      <c r="BG52" t="s">
        <v>89</v>
      </c>
      <c r="BH52">
        <v>51</v>
      </c>
    </row>
    <row r="53" spans="1:60" x14ac:dyDescent="0.3">
      <c r="A53" t="s">
        <v>336</v>
      </c>
      <c r="B53" s="1">
        <v>46023</v>
      </c>
      <c r="C53" t="s">
        <v>129</v>
      </c>
      <c r="D53" s="4" t="s">
        <v>345</v>
      </c>
      <c r="E53" t="s">
        <v>142</v>
      </c>
      <c r="F53">
        <v>11.612084400000001</v>
      </c>
      <c r="G53">
        <v>9.2188858000000007</v>
      </c>
      <c r="H53">
        <v>490.44116404741271</v>
      </c>
      <c r="I53">
        <v>4.8239999999999998</v>
      </c>
      <c r="K53" t="s">
        <v>64</v>
      </c>
      <c r="L53">
        <f t="shared" ca="1" si="0"/>
        <v>50</v>
      </c>
      <c r="M53" t="s">
        <v>65</v>
      </c>
      <c r="N53" t="s">
        <v>66</v>
      </c>
      <c r="O53" t="s">
        <v>67</v>
      </c>
      <c r="P53" s="2" t="s">
        <v>68</v>
      </c>
      <c r="Q53" s="2" t="s">
        <v>112</v>
      </c>
      <c r="R53" t="s">
        <v>70</v>
      </c>
      <c r="S53">
        <v>2</v>
      </c>
      <c r="T53" s="2" t="s">
        <v>125</v>
      </c>
      <c r="U53" t="s">
        <v>72</v>
      </c>
      <c r="V53" s="2" t="s">
        <v>115</v>
      </c>
      <c r="W53" s="2" t="s">
        <v>74</v>
      </c>
      <c r="X53" s="2" t="s">
        <v>99</v>
      </c>
      <c r="Y53" t="s">
        <v>76</v>
      </c>
      <c r="Z53" t="s">
        <v>77</v>
      </c>
      <c r="AA53" s="2" t="s">
        <v>79</v>
      </c>
      <c r="AB53" s="2" t="s">
        <v>79</v>
      </c>
      <c r="AC53" s="2" t="s">
        <v>80</v>
      </c>
      <c r="AD53" s="2" t="s">
        <v>78</v>
      </c>
      <c r="AE53" s="2" t="s">
        <v>79</v>
      </c>
      <c r="AF53" s="2" t="s">
        <v>79</v>
      </c>
      <c r="AG53" t="s">
        <v>79</v>
      </c>
      <c r="AH53" t="s">
        <v>78</v>
      </c>
      <c r="AI53" t="s">
        <v>79</v>
      </c>
      <c r="AJ53" t="s">
        <v>78</v>
      </c>
      <c r="AK53" t="s">
        <v>80</v>
      </c>
      <c r="AL53" t="s">
        <v>70</v>
      </c>
      <c r="AM53" t="s">
        <v>64</v>
      </c>
      <c r="AN53" s="2" t="s">
        <v>77</v>
      </c>
      <c r="AO53">
        <v>12</v>
      </c>
      <c r="AP53" s="2" t="s">
        <v>78</v>
      </c>
      <c r="AQ53" t="s">
        <v>78</v>
      </c>
      <c r="AR53" t="s">
        <v>64</v>
      </c>
      <c r="AS53" t="s">
        <v>81</v>
      </c>
      <c r="AT53" t="s">
        <v>64</v>
      </c>
      <c r="AU53" t="s">
        <v>102</v>
      </c>
      <c r="AV53" t="s">
        <v>103</v>
      </c>
      <c r="AW53" t="s">
        <v>104</v>
      </c>
      <c r="AX53">
        <v>821628125</v>
      </c>
      <c r="AY53" t="s">
        <v>208</v>
      </c>
      <c r="AZ53" s="1">
        <v>46228</v>
      </c>
      <c r="BC53" t="s">
        <v>86</v>
      </c>
      <c r="BD53" t="s">
        <v>257</v>
      </c>
      <c r="BE53" t="s">
        <v>88</v>
      </c>
      <c r="BG53" t="s">
        <v>287</v>
      </c>
      <c r="BH53">
        <v>52</v>
      </c>
    </row>
    <row r="54" spans="1:60" x14ac:dyDescent="0.3">
      <c r="A54" t="s">
        <v>337</v>
      </c>
      <c r="B54" s="1">
        <v>46025</v>
      </c>
      <c r="C54" t="s">
        <v>129</v>
      </c>
      <c r="D54" s="4" t="s">
        <v>346</v>
      </c>
      <c r="E54" t="s">
        <v>143</v>
      </c>
      <c r="F54">
        <v>11.612084400000001</v>
      </c>
      <c r="G54">
        <v>9.2188858000000007</v>
      </c>
      <c r="H54">
        <v>490.44116404741271</v>
      </c>
      <c r="I54">
        <v>4.8239999999999998</v>
      </c>
      <c r="K54" t="s">
        <v>64</v>
      </c>
      <c r="L54">
        <f t="shared" ca="1" si="0"/>
        <v>24</v>
      </c>
      <c r="M54" t="s">
        <v>65</v>
      </c>
      <c r="N54" t="s">
        <v>66</v>
      </c>
      <c r="O54" t="s">
        <v>67</v>
      </c>
      <c r="P54" s="2" t="s">
        <v>68</v>
      </c>
      <c r="Q54" s="2" t="s">
        <v>112</v>
      </c>
      <c r="R54" t="s">
        <v>70</v>
      </c>
      <c r="S54">
        <v>2</v>
      </c>
      <c r="T54" s="2" t="s">
        <v>125</v>
      </c>
      <c r="U54" t="s">
        <v>72</v>
      </c>
      <c r="V54" s="2" t="s">
        <v>115</v>
      </c>
      <c r="W54" s="2" t="s">
        <v>74</v>
      </c>
      <c r="X54" s="2" t="s">
        <v>99</v>
      </c>
      <c r="Y54" t="s">
        <v>76</v>
      </c>
      <c r="Z54" t="s">
        <v>77</v>
      </c>
      <c r="AA54" s="2" t="s">
        <v>79</v>
      </c>
      <c r="AB54" s="2" t="s">
        <v>79</v>
      </c>
      <c r="AC54" s="2" t="s">
        <v>80</v>
      </c>
      <c r="AD54" s="2" t="s">
        <v>78</v>
      </c>
      <c r="AE54" s="2" t="s">
        <v>79</v>
      </c>
      <c r="AF54" s="2" t="s">
        <v>79</v>
      </c>
      <c r="AG54" t="s">
        <v>79</v>
      </c>
      <c r="AH54" t="s">
        <v>78</v>
      </c>
      <c r="AI54" t="s">
        <v>79</v>
      </c>
      <c r="AJ54" t="s">
        <v>78</v>
      </c>
      <c r="AK54" t="s">
        <v>80</v>
      </c>
      <c r="AL54" t="s">
        <v>70</v>
      </c>
      <c r="AM54" t="s">
        <v>64</v>
      </c>
      <c r="AN54" s="2" t="s">
        <v>101</v>
      </c>
      <c r="AO54">
        <v>12</v>
      </c>
      <c r="AP54" s="2" t="s">
        <v>78</v>
      </c>
      <c r="AQ54" t="s">
        <v>80</v>
      </c>
      <c r="AR54" t="s">
        <v>64</v>
      </c>
      <c r="AS54" t="s">
        <v>117</v>
      </c>
      <c r="AT54" t="s">
        <v>64</v>
      </c>
      <c r="AU54" t="s">
        <v>102</v>
      </c>
      <c r="AV54" t="s">
        <v>83</v>
      </c>
      <c r="AW54" t="s">
        <v>118</v>
      </c>
      <c r="AX54">
        <v>821628126</v>
      </c>
      <c r="AY54" t="s">
        <v>209</v>
      </c>
      <c r="AZ54" s="1">
        <v>46228</v>
      </c>
      <c r="BC54" t="s">
        <v>86</v>
      </c>
      <c r="BD54" t="s">
        <v>258</v>
      </c>
      <c r="BE54" t="s">
        <v>88</v>
      </c>
      <c r="BG54" t="s">
        <v>288</v>
      </c>
      <c r="BH54">
        <v>53</v>
      </c>
    </row>
    <row r="55" spans="1:60" x14ac:dyDescent="0.3">
      <c r="A55" t="s">
        <v>338</v>
      </c>
      <c r="B55" s="1">
        <v>46030</v>
      </c>
      <c r="C55" t="s">
        <v>129</v>
      </c>
      <c r="D55" s="4" t="s">
        <v>347</v>
      </c>
      <c r="E55" t="s">
        <v>144</v>
      </c>
      <c r="F55">
        <v>11.612084400000001</v>
      </c>
      <c r="G55">
        <v>9.2188858000000007</v>
      </c>
      <c r="H55">
        <v>490.44116404741271</v>
      </c>
      <c r="I55">
        <v>4.8239999999999998</v>
      </c>
      <c r="K55" t="s">
        <v>64</v>
      </c>
      <c r="L55">
        <f t="shared" ca="1" si="0"/>
        <v>49</v>
      </c>
      <c r="M55" t="s">
        <v>65</v>
      </c>
      <c r="N55" t="s">
        <v>66</v>
      </c>
      <c r="O55" t="s">
        <v>67</v>
      </c>
      <c r="P55" s="2" t="s">
        <v>68</v>
      </c>
      <c r="Q55" s="2" t="s">
        <v>112</v>
      </c>
      <c r="R55" t="s">
        <v>70</v>
      </c>
      <c r="S55">
        <v>2</v>
      </c>
      <c r="T55" s="2" t="s">
        <v>125</v>
      </c>
      <c r="U55" t="s">
        <v>72</v>
      </c>
      <c r="V55" s="2" t="s">
        <v>115</v>
      </c>
      <c r="W55" s="2" t="s">
        <v>74</v>
      </c>
      <c r="X55" s="2" t="s">
        <v>99</v>
      </c>
      <c r="Y55" t="s">
        <v>76</v>
      </c>
      <c r="Z55" t="s">
        <v>77</v>
      </c>
      <c r="AA55" s="2" t="s">
        <v>79</v>
      </c>
      <c r="AB55" s="2" t="s">
        <v>79</v>
      </c>
      <c r="AC55" s="2" t="s">
        <v>80</v>
      </c>
      <c r="AD55" s="2" t="s">
        <v>78</v>
      </c>
      <c r="AE55" s="2" t="s">
        <v>79</v>
      </c>
      <c r="AF55" s="2" t="s">
        <v>79</v>
      </c>
      <c r="AG55" t="s">
        <v>79</v>
      </c>
      <c r="AH55" t="s">
        <v>78</v>
      </c>
      <c r="AI55" t="s">
        <v>79</v>
      </c>
      <c r="AJ55" t="s">
        <v>78</v>
      </c>
      <c r="AK55" t="s">
        <v>80</v>
      </c>
      <c r="AL55" t="s">
        <v>70</v>
      </c>
      <c r="AM55" t="s">
        <v>64</v>
      </c>
      <c r="AN55" s="2" t="s">
        <v>77</v>
      </c>
      <c r="AO55">
        <v>12</v>
      </c>
      <c r="AP55" s="2" t="s">
        <v>78</v>
      </c>
      <c r="AQ55" t="s">
        <v>78</v>
      </c>
      <c r="AR55" t="s">
        <v>64</v>
      </c>
      <c r="AS55" t="s">
        <v>117</v>
      </c>
      <c r="AT55" t="s">
        <v>64</v>
      </c>
      <c r="AU55" t="s">
        <v>102</v>
      </c>
      <c r="AV55" t="s">
        <v>83</v>
      </c>
      <c r="AW55" t="s">
        <v>118</v>
      </c>
      <c r="AX55">
        <v>821628127</v>
      </c>
      <c r="AY55" t="s">
        <v>210</v>
      </c>
      <c r="AZ55" s="1">
        <v>46228</v>
      </c>
      <c r="BC55" t="s">
        <v>86</v>
      </c>
      <c r="BD55" t="s">
        <v>259</v>
      </c>
      <c r="BE55" t="s">
        <v>88</v>
      </c>
      <c r="BG55" t="s">
        <v>289</v>
      </c>
      <c r="BH55">
        <v>54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4DBE8-E0F4-4EC9-BCF9-44694B3DAB61}">
  <dimension ref="A1:AQ15"/>
  <sheetViews>
    <sheetView workbookViewId="0">
      <selection sqref="A1:AQ15"/>
    </sheetView>
  </sheetViews>
  <sheetFormatPr defaultRowHeight="14.4" x14ac:dyDescent="0.3"/>
  <sheetData>
    <row r="1" spans="1:43" x14ac:dyDescent="0.3">
      <c r="A1" s="3" t="s">
        <v>353</v>
      </c>
      <c r="B1" s="3" t="s">
        <v>354</v>
      </c>
      <c r="C1" s="3" t="s">
        <v>355</v>
      </c>
      <c r="D1" s="3" t="s">
        <v>356</v>
      </c>
      <c r="E1" s="3" t="s">
        <v>357</v>
      </c>
      <c r="F1" s="3" t="s">
        <v>358</v>
      </c>
      <c r="G1" s="3" t="s">
        <v>359</v>
      </c>
      <c r="H1" s="3" t="s">
        <v>360</v>
      </c>
      <c r="I1" s="3" t="s">
        <v>361</v>
      </c>
      <c r="J1" s="3" t="s">
        <v>362</v>
      </c>
      <c r="K1" s="3" t="s">
        <v>363</v>
      </c>
      <c r="L1" s="3" t="s">
        <v>364</v>
      </c>
      <c r="M1" s="3" t="s">
        <v>365</v>
      </c>
      <c r="N1" s="3" t="s">
        <v>366</v>
      </c>
      <c r="O1" s="3" t="s">
        <v>367</v>
      </c>
      <c r="P1" s="3" t="s">
        <v>368</v>
      </c>
      <c r="Q1" s="3" t="s">
        <v>369</v>
      </c>
      <c r="R1" s="3" t="s">
        <v>370</v>
      </c>
      <c r="S1" s="3" t="s">
        <v>371</v>
      </c>
      <c r="T1" s="3" t="s">
        <v>372</v>
      </c>
      <c r="U1" s="3" t="s">
        <v>373</v>
      </c>
      <c r="V1" s="3" t="s">
        <v>374</v>
      </c>
      <c r="W1" s="3" t="s">
        <v>375</v>
      </c>
      <c r="X1" s="3" t="s">
        <v>376</v>
      </c>
      <c r="Y1" s="3" t="s">
        <v>377</v>
      </c>
      <c r="Z1" s="3" t="s">
        <v>378</v>
      </c>
      <c r="AA1" s="3" t="s">
        <v>379</v>
      </c>
      <c r="AB1" s="3" t="s">
        <v>380</v>
      </c>
      <c r="AC1" s="3" t="s">
        <v>381</v>
      </c>
      <c r="AD1" s="3" t="s">
        <v>382</v>
      </c>
      <c r="AE1" s="3" t="s">
        <v>383</v>
      </c>
      <c r="AF1" s="3" t="s">
        <v>384</v>
      </c>
      <c r="AG1" s="3" t="s">
        <v>385</v>
      </c>
      <c r="AH1" s="3" t="s">
        <v>386</v>
      </c>
      <c r="AI1" s="3" t="s">
        <v>387</v>
      </c>
      <c r="AJ1" s="3" t="s">
        <v>388</v>
      </c>
      <c r="AK1" s="3" t="s">
        <v>389</v>
      </c>
      <c r="AL1" s="3" t="s">
        <v>390</v>
      </c>
      <c r="AM1" s="3" t="s">
        <v>391</v>
      </c>
      <c r="AN1" s="3" t="s">
        <v>392</v>
      </c>
      <c r="AO1" s="3" t="s">
        <v>393</v>
      </c>
      <c r="AP1" s="3" t="s">
        <v>394</v>
      </c>
      <c r="AQ1" s="3" t="s">
        <v>395</v>
      </c>
    </row>
    <row r="2" spans="1:43" x14ac:dyDescent="0.3">
      <c r="A2" t="s">
        <v>396</v>
      </c>
      <c r="B2" s="3" t="s">
        <v>397</v>
      </c>
      <c r="C2" s="3" t="s">
        <v>398</v>
      </c>
      <c r="D2" s="1">
        <v>46175</v>
      </c>
      <c r="E2" s="5">
        <v>30</v>
      </c>
      <c r="F2" s="3" t="s">
        <v>399</v>
      </c>
      <c r="G2" s="3" t="s">
        <v>62</v>
      </c>
      <c r="H2" s="3" t="s">
        <v>64</v>
      </c>
      <c r="I2" s="3" t="s">
        <v>65</v>
      </c>
      <c r="J2" s="3" t="s">
        <v>400</v>
      </c>
      <c r="K2" s="3" t="s">
        <v>401</v>
      </c>
      <c r="L2" s="3" t="s">
        <v>402</v>
      </c>
      <c r="M2" s="3" t="s">
        <v>73</v>
      </c>
      <c r="N2" s="3" t="s">
        <v>402</v>
      </c>
      <c r="O2" s="5">
        <v>2025</v>
      </c>
      <c r="P2" s="3" t="s">
        <v>71</v>
      </c>
      <c r="Q2" s="3" t="s">
        <v>402</v>
      </c>
      <c r="R2" s="3" t="s">
        <v>403</v>
      </c>
      <c r="S2" s="3" t="s">
        <v>64</v>
      </c>
      <c r="T2" s="3" t="s">
        <v>404</v>
      </c>
      <c r="U2" s="3" t="s">
        <v>405</v>
      </c>
      <c r="V2" s="3" t="s">
        <v>406</v>
      </c>
      <c r="W2" s="3" t="s">
        <v>406</v>
      </c>
      <c r="X2" s="3" t="s">
        <v>407</v>
      </c>
      <c r="Y2" s="3" t="s">
        <v>402</v>
      </c>
      <c r="Z2" s="3" t="s">
        <v>132</v>
      </c>
      <c r="AA2" s="3" t="s">
        <v>64</v>
      </c>
      <c r="AB2" s="3" t="s">
        <v>408</v>
      </c>
      <c r="AC2" s="3" t="s">
        <v>409</v>
      </c>
      <c r="AD2" s="3" t="s">
        <v>405</v>
      </c>
      <c r="AE2" s="3" t="s">
        <v>81</v>
      </c>
      <c r="AF2" s="3" t="s">
        <v>406</v>
      </c>
      <c r="AG2" s="3" t="s">
        <v>410</v>
      </c>
      <c r="AH2" s="3" t="s">
        <v>411</v>
      </c>
      <c r="AI2" s="3" t="s">
        <v>412</v>
      </c>
      <c r="AJ2" s="3" t="s">
        <v>402</v>
      </c>
      <c r="AK2" s="3" t="s">
        <v>413</v>
      </c>
      <c r="AL2" s="6">
        <v>46213.702928240738</v>
      </c>
      <c r="AM2" s="6">
        <v>46213.697789351849</v>
      </c>
      <c r="AN2" s="3" t="s">
        <v>414</v>
      </c>
      <c r="AO2" s="6">
        <v>46213.702951388892</v>
      </c>
      <c r="AP2" s="7" t="s">
        <v>415</v>
      </c>
      <c r="AQ2" s="3" t="s">
        <v>414</v>
      </c>
    </row>
    <row r="3" spans="1:43" x14ac:dyDescent="0.3">
      <c r="A3" t="s">
        <v>416</v>
      </c>
      <c r="B3" s="3" t="s">
        <v>417</v>
      </c>
      <c r="C3" s="3" t="s">
        <v>418</v>
      </c>
      <c r="D3" s="1">
        <v>46176</v>
      </c>
      <c r="E3" s="5">
        <v>31</v>
      </c>
      <c r="F3" s="3" t="s">
        <v>419</v>
      </c>
      <c r="G3" s="3" t="s">
        <v>420</v>
      </c>
      <c r="H3" s="3" t="s">
        <v>64</v>
      </c>
      <c r="I3" s="3" t="s">
        <v>65</v>
      </c>
      <c r="J3" s="3" t="s">
        <v>400</v>
      </c>
      <c r="K3" s="3" t="s">
        <v>421</v>
      </c>
      <c r="L3" s="3" t="s">
        <v>402</v>
      </c>
      <c r="M3" s="3" t="s">
        <v>73</v>
      </c>
      <c r="N3" s="3" t="s">
        <v>402</v>
      </c>
      <c r="O3" s="5">
        <v>2025</v>
      </c>
      <c r="P3" s="3" t="s">
        <v>71</v>
      </c>
      <c r="Q3" s="3" t="s">
        <v>402</v>
      </c>
      <c r="R3" s="3" t="s">
        <v>403</v>
      </c>
      <c r="S3" s="3" t="s">
        <v>64</v>
      </c>
      <c r="T3" s="3" t="s">
        <v>404</v>
      </c>
      <c r="U3" s="3" t="s">
        <v>78</v>
      </c>
      <c r="V3" s="3" t="s">
        <v>406</v>
      </c>
      <c r="W3" s="3" t="s">
        <v>406</v>
      </c>
      <c r="X3" s="3" t="s">
        <v>407</v>
      </c>
      <c r="Y3" s="3" t="s">
        <v>402</v>
      </c>
      <c r="Z3" s="3" t="s">
        <v>70</v>
      </c>
      <c r="AA3" s="3" t="s">
        <v>64</v>
      </c>
      <c r="AB3" s="3" t="s">
        <v>408</v>
      </c>
      <c r="AC3" s="3" t="s">
        <v>409</v>
      </c>
      <c r="AD3" s="3" t="s">
        <v>78</v>
      </c>
      <c r="AE3" s="3" t="s">
        <v>81</v>
      </c>
      <c r="AF3" s="3" t="s">
        <v>406</v>
      </c>
      <c r="AG3" s="3" t="s">
        <v>64</v>
      </c>
      <c r="AH3" s="3" t="s">
        <v>422</v>
      </c>
      <c r="AI3" s="3" t="s">
        <v>412</v>
      </c>
      <c r="AJ3" s="3" t="s">
        <v>402</v>
      </c>
      <c r="AK3" s="3" t="s">
        <v>423</v>
      </c>
      <c r="AL3" s="6">
        <v>46236.393692129634</v>
      </c>
      <c r="AM3" s="6">
        <v>46236.390405092592</v>
      </c>
      <c r="AN3" s="3" t="s">
        <v>414</v>
      </c>
      <c r="AO3" s="6">
        <v>46236.393726851849</v>
      </c>
      <c r="AP3" s="7" t="s">
        <v>424</v>
      </c>
      <c r="AQ3" s="3" t="s">
        <v>414</v>
      </c>
    </row>
    <row r="4" spans="1:43" x14ac:dyDescent="0.3">
      <c r="A4" t="s">
        <v>425</v>
      </c>
      <c r="B4" s="3" t="s">
        <v>417</v>
      </c>
      <c r="C4" s="3" t="s">
        <v>426</v>
      </c>
      <c r="D4" s="1">
        <v>46176</v>
      </c>
      <c r="E4">
        <f ca="1">RANDBETWEEN(20,50)</f>
        <v>42</v>
      </c>
      <c r="F4" s="3" t="s">
        <v>427</v>
      </c>
      <c r="G4" s="3" t="s">
        <v>428</v>
      </c>
      <c r="H4" s="3" t="s">
        <v>64</v>
      </c>
      <c r="I4" s="3" t="s">
        <v>65</v>
      </c>
      <c r="J4" s="3" t="s">
        <v>400</v>
      </c>
      <c r="K4" s="3" t="s">
        <v>401</v>
      </c>
      <c r="M4" s="3" t="s">
        <v>73</v>
      </c>
      <c r="O4" s="5">
        <v>2025</v>
      </c>
      <c r="P4" s="3" t="s">
        <v>71</v>
      </c>
      <c r="R4" s="3" t="s">
        <v>403</v>
      </c>
      <c r="T4" s="3" t="s">
        <v>404</v>
      </c>
      <c r="U4" s="3" t="s">
        <v>405</v>
      </c>
      <c r="V4" s="3" t="s">
        <v>406</v>
      </c>
      <c r="W4" s="3" t="s">
        <v>406</v>
      </c>
      <c r="X4" s="3" t="s">
        <v>407</v>
      </c>
      <c r="Z4" s="3" t="s">
        <v>132</v>
      </c>
      <c r="AA4" s="3" t="s">
        <v>64</v>
      </c>
      <c r="AB4" s="3" t="s">
        <v>408</v>
      </c>
      <c r="AC4" s="3" t="s">
        <v>409</v>
      </c>
      <c r="AD4" s="3" t="s">
        <v>405</v>
      </c>
      <c r="AE4" s="3" t="s">
        <v>81</v>
      </c>
      <c r="AF4" s="3" t="s">
        <v>406</v>
      </c>
      <c r="AG4" s="3" t="s">
        <v>410</v>
      </c>
      <c r="AH4" s="3" t="s">
        <v>411</v>
      </c>
      <c r="AI4" s="3" t="s">
        <v>412</v>
      </c>
      <c r="AK4" s="3" t="s">
        <v>413</v>
      </c>
      <c r="AL4" s="6">
        <v>46259.084456076387</v>
      </c>
      <c r="AM4" s="6">
        <v>46259.083020775463</v>
      </c>
      <c r="AN4" s="3" t="s">
        <v>429</v>
      </c>
      <c r="AO4" s="6">
        <v>46259.084502199075</v>
      </c>
      <c r="AP4" s="7" t="s">
        <v>415</v>
      </c>
      <c r="AQ4" s="3" t="s">
        <v>429</v>
      </c>
    </row>
    <row r="5" spans="1:43" x14ac:dyDescent="0.3">
      <c r="A5" t="s">
        <v>430</v>
      </c>
      <c r="B5" s="3" t="s">
        <v>417</v>
      </c>
      <c r="C5" s="3" t="s">
        <v>431</v>
      </c>
      <c r="D5" s="1">
        <v>46177</v>
      </c>
      <c r="E5">
        <f t="shared" ref="E5:E15" ca="1" si="0">RANDBETWEEN(20,50)</f>
        <v>21</v>
      </c>
      <c r="F5" s="3" t="s">
        <v>432</v>
      </c>
      <c r="G5" s="3" t="s">
        <v>433</v>
      </c>
      <c r="H5" s="3" t="s">
        <v>64</v>
      </c>
      <c r="I5" s="3" t="s">
        <v>111</v>
      </c>
      <c r="J5" s="3" t="s">
        <v>400</v>
      </c>
      <c r="K5" s="3" t="s">
        <v>421</v>
      </c>
      <c r="M5" s="3" t="s">
        <v>73</v>
      </c>
      <c r="O5" s="5">
        <v>2025</v>
      </c>
      <c r="P5" s="3" t="s">
        <v>71</v>
      </c>
      <c r="R5" s="3" t="s">
        <v>403</v>
      </c>
      <c r="T5" s="3" t="s">
        <v>404</v>
      </c>
      <c r="U5" s="3" t="s">
        <v>78</v>
      </c>
      <c r="V5" s="3" t="s">
        <v>406</v>
      </c>
      <c r="W5" s="3" t="s">
        <v>406</v>
      </c>
      <c r="X5" s="3" t="s">
        <v>407</v>
      </c>
      <c r="Z5" s="3" t="s">
        <v>70</v>
      </c>
      <c r="AA5" s="3" t="s">
        <v>64</v>
      </c>
      <c r="AB5" s="3" t="s">
        <v>408</v>
      </c>
      <c r="AC5" s="3" t="s">
        <v>409</v>
      </c>
      <c r="AD5" s="3" t="s">
        <v>78</v>
      </c>
      <c r="AE5" s="3" t="s">
        <v>81</v>
      </c>
      <c r="AF5" s="3" t="s">
        <v>406</v>
      </c>
      <c r="AG5" s="3" t="s">
        <v>64</v>
      </c>
      <c r="AH5" s="3" t="s">
        <v>422</v>
      </c>
      <c r="AI5" s="3" t="s">
        <v>412</v>
      </c>
      <c r="AK5" s="3" t="s">
        <v>423</v>
      </c>
      <c r="AL5" s="6">
        <v>46281.775220023148</v>
      </c>
      <c r="AM5" s="6">
        <v>46281.775636516206</v>
      </c>
      <c r="AN5" s="3" t="s">
        <v>434</v>
      </c>
      <c r="AO5" s="6">
        <v>46281.775277604167</v>
      </c>
      <c r="AP5" s="7" t="s">
        <v>424</v>
      </c>
      <c r="AQ5" s="3" t="s">
        <v>434</v>
      </c>
    </row>
    <row r="6" spans="1:43" x14ac:dyDescent="0.3">
      <c r="A6" t="s">
        <v>435</v>
      </c>
      <c r="B6" s="3" t="s">
        <v>417</v>
      </c>
      <c r="C6" s="3" t="s">
        <v>436</v>
      </c>
      <c r="D6" s="1">
        <v>46178</v>
      </c>
      <c r="E6">
        <f t="shared" ca="1" si="0"/>
        <v>22</v>
      </c>
      <c r="F6" s="3" t="s">
        <v>437</v>
      </c>
      <c r="G6" s="3" t="s">
        <v>438</v>
      </c>
      <c r="H6" s="3" t="s">
        <v>64</v>
      </c>
      <c r="I6" s="3" t="s">
        <v>65</v>
      </c>
      <c r="J6" s="3" t="s">
        <v>400</v>
      </c>
      <c r="K6" s="3" t="s">
        <v>401</v>
      </c>
      <c r="M6" s="3" t="s">
        <v>73</v>
      </c>
      <c r="O6" s="5">
        <v>2025</v>
      </c>
      <c r="P6" s="3" t="s">
        <v>71</v>
      </c>
      <c r="R6" s="3" t="s">
        <v>403</v>
      </c>
      <c r="T6" s="3" t="s">
        <v>404</v>
      </c>
      <c r="U6" s="3" t="s">
        <v>405</v>
      </c>
      <c r="V6" s="3" t="s">
        <v>406</v>
      </c>
      <c r="W6" s="3" t="s">
        <v>406</v>
      </c>
      <c r="X6" s="3" t="s">
        <v>407</v>
      </c>
      <c r="Z6" s="3" t="s">
        <v>132</v>
      </c>
      <c r="AA6" s="3" t="s">
        <v>64</v>
      </c>
      <c r="AB6" s="3" t="s">
        <v>408</v>
      </c>
      <c r="AC6" s="3" t="s">
        <v>409</v>
      </c>
      <c r="AD6" s="3" t="s">
        <v>405</v>
      </c>
      <c r="AE6" s="3" t="s">
        <v>81</v>
      </c>
      <c r="AF6" s="3" t="s">
        <v>406</v>
      </c>
      <c r="AG6" s="3" t="s">
        <v>410</v>
      </c>
      <c r="AH6" s="3" t="s">
        <v>411</v>
      </c>
      <c r="AI6" s="3" t="s">
        <v>412</v>
      </c>
      <c r="AK6" s="3" t="s">
        <v>413</v>
      </c>
      <c r="AL6" s="6">
        <v>46304.465983969909</v>
      </c>
      <c r="AM6" s="6">
        <v>46304.468252256942</v>
      </c>
      <c r="AN6" s="3" t="s">
        <v>439</v>
      </c>
      <c r="AO6" s="6">
        <v>46304.466053009259</v>
      </c>
      <c r="AP6" s="7" t="s">
        <v>415</v>
      </c>
      <c r="AQ6" s="3" t="s">
        <v>439</v>
      </c>
    </row>
    <row r="7" spans="1:43" x14ac:dyDescent="0.3">
      <c r="A7" t="s">
        <v>440</v>
      </c>
      <c r="B7" s="3" t="s">
        <v>417</v>
      </c>
      <c r="C7" s="3" t="s">
        <v>441</v>
      </c>
      <c r="D7" s="1">
        <v>46179</v>
      </c>
      <c r="E7">
        <f t="shared" ca="1" si="0"/>
        <v>39</v>
      </c>
      <c r="F7" s="3" t="s">
        <v>442</v>
      </c>
      <c r="G7" s="3" t="s">
        <v>443</v>
      </c>
      <c r="H7" s="3" t="s">
        <v>64</v>
      </c>
      <c r="I7" s="3" t="s">
        <v>111</v>
      </c>
      <c r="J7" s="3" t="s">
        <v>400</v>
      </c>
      <c r="K7" s="3" t="s">
        <v>421</v>
      </c>
      <c r="M7" s="3" t="s">
        <v>73</v>
      </c>
      <c r="O7" s="5">
        <v>2025</v>
      </c>
      <c r="P7" s="3" t="s">
        <v>113</v>
      </c>
      <c r="R7" s="3" t="s">
        <v>403</v>
      </c>
      <c r="T7" s="3" t="s">
        <v>404</v>
      </c>
      <c r="U7" s="3" t="s">
        <v>78</v>
      </c>
      <c r="V7" s="3" t="s">
        <v>406</v>
      </c>
      <c r="W7" s="3" t="s">
        <v>406</v>
      </c>
      <c r="X7" s="3" t="s">
        <v>444</v>
      </c>
      <c r="Z7" s="3" t="s">
        <v>70</v>
      </c>
      <c r="AA7" s="3" t="s">
        <v>64</v>
      </c>
      <c r="AB7" s="3" t="s">
        <v>408</v>
      </c>
      <c r="AC7" s="3" t="s">
        <v>409</v>
      </c>
      <c r="AD7" s="3" t="s">
        <v>78</v>
      </c>
      <c r="AE7" s="3" t="s">
        <v>81</v>
      </c>
      <c r="AF7" s="3" t="s">
        <v>406</v>
      </c>
      <c r="AG7" s="3" t="s">
        <v>64</v>
      </c>
      <c r="AH7" s="3" t="s">
        <v>422</v>
      </c>
      <c r="AI7" s="3" t="s">
        <v>412</v>
      </c>
      <c r="AK7" s="3" t="s">
        <v>423</v>
      </c>
      <c r="AL7" s="6">
        <v>46327.15674791667</v>
      </c>
      <c r="AM7" s="6">
        <v>46327.160867997685</v>
      </c>
      <c r="AN7" s="3" t="s">
        <v>445</v>
      </c>
      <c r="AO7" s="6">
        <v>46327.15682841435</v>
      </c>
      <c r="AP7" s="7" t="s">
        <v>424</v>
      </c>
      <c r="AQ7" s="3" t="s">
        <v>445</v>
      </c>
    </row>
    <row r="8" spans="1:43" x14ac:dyDescent="0.3">
      <c r="A8" t="s">
        <v>446</v>
      </c>
      <c r="B8" s="3" t="s">
        <v>417</v>
      </c>
      <c r="C8" s="3" t="s">
        <v>447</v>
      </c>
      <c r="D8" s="1">
        <v>46180</v>
      </c>
      <c r="E8">
        <f t="shared" ca="1" si="0"/>
        <v>22</v>
      </c>
      <c r="F8" s="3" t="s">
        <v>448</v>
      </c>
      <c r="G8" s="3" t="s">
        <v>449</v>
      </c>
      <c r="H8" s="3" t="s">
        <v>64</v>
      </c>
      <c r="I8" s="3" t="s">
        <v>65</v>
      </c>
      <c r="J8" s="3" t="s">
        <v>400</v>
      </c>
      <c r="K8" s="3" t="s">
        <v>401</v>
      </c>
      <c r="M8" s="3" t="s">
        <v>73</v>
      </c>
      <c r="O8" s="5">
        <v>2025</v>
      </c>
      <c r="P8" s="3" t="s">
        <v>113</v>
      </c>
      <c r="R8" s="3" t="s">
        <v>403</v>
      </c>
      <c r="T8" s="3" t="s">
        <v>404</v>
      </c>
      <c r="U8" s="3" t="s">
        <v>405</v>
      </c>
      <c r="V8" s="3" t="s">
        <v>406</v>
      </c>
      <c r="W8" s="3" t="s">
        <v>406</v>
      </c>
      <c r="X8" s="3" t="s">
        <v>444</v>
      </c>
      <c r="Z8" s="3" t="s">
        <v>132</v>
      </c>
      <c r="AA8" s="3" t="s">
        <v>64</v>
      </c>
      <c r="AB8" s="3" t="s">
        <v>408</v>
      </c>
      <c r="AC8" s="3" t="s">
        <v>409</v>
      </c>
      <c r="AD8" s="3" t="s">
        <v>405</v>
      </c>
      <c r="AE8" s="3" t="s">
        <v>81</v>
      </c>
      <c r="AF8" s="3" t="s">
        <v>406</v>
      </c>
      <c r="AG8" s="3" t="s">
        <v>410</v>
      </c>
      <c r="AH8" s="3" t="s">
        <v>411</v>
      </c>
      <c r="AI8" s="3" t="s">
        <v>412</v>
      </c>
      <c r="AK8" s="3" t="s">
        <v>413</v>
      </c>
      <c r="AL8" s="6">
        <v>46349.847511863423</v>
      </c>
      <c r="AM8" s="6">
        <v>46349.853483738429</v>
      </c>
      <c r="AN8" s="3" t="s">
        <v>450</v>
      </c>
      <c r="AO8" s="6">
        <v>46349.847603819442</v>
      </c>
      <c r="AP8" s="7" t="s">
        <v>415</v>
      </c>
      <c r="AQ8" s="3" t="s">
        <v>450</v>
      </c>
    </row>
    <row r="9" spans="1:43" x14ac:dyDescent="0.3">
      <c r="A9" t="s">
        <v>451</v>
      </c>
      <c r="B9" s="3" t="s">
        <v>417</v>
      </c>
      <c r="C9" s="3" t="s">
        <v>452</v>
      </c>
      <c r="D9" s="1">
        <v>46181</v>
      </c>
      <c r="E9">
        <f t="shared" ca="1" si="0"/>
        <v>43</v>
      </c>
      <c r="F9" s="3" t="s">
        <v>453</v>
      </c>
      <c r="G9" s="3" t="s">
        <v>454</v>
      </c>
      <c r="H9" s="3" t="s">
        <v>64</v>
      </c>
      <c r="I9" s="3" t="s">
        <v>65</v>
      </c>
      <c r="J9" s="3" t="s">
        <v>400</v>
      </c>
      <c r="K9" s="3" t="s">
        <v>421</v>
      </c>
      <c r="M9" s="3" t="s">
        <v>73</v>
      </c>
      <c r="O9" s="5">
        <v>2025</v>
      </c>
      <c r="P9" s="3" t="s">
        <v>113</v>
      </c>
      <c r="R9" s="3" t="s">
        <v>403</v>
      </c>
      <c r="T9" s="3" t="s">
        <v>404</v>
      </c>
      <c r="U9" s="3" t="s">
        <v>78</v>
      </c>
      <c r="V9" s="3" t="s">
        <v>406</v>
      </c>
      <c r="W9" s="3" t="s">
        <v>406</v>
      </c>
      <c r="X9" s="3" t="s">
        <v>444</v>
      </c>
      <c r="Z9" s="3" t="s">
        <v>70</v>
      </c>
      <c r="AA9" s="3" t="s">
        <v>64</v>
      </c>
      <c r="AB9" s="3" t="s">
        <v>408</v>
      </c>
      <c r="AC9" s="3" t="s">
        <v>409</v>
      </c>
      <c r="AD9" s="3" t="s">
        <v>78</v>
      </c>
      <c r="AE9" s="3" t="s">
        <v>81</v>
      </c>
      <c r="AF9" s="3" t="s">
        <v>406</v>
      </c>
      <c r="AG9" s="3" t="s">
        <v>64</v>
      </c>
      <c r="AH9" s="3" t="s">
        <v>422</v>
      </c>
      <c r="AI9" s="3" t="s">
        <v>412</v>
      </c>
      <c r="AK9" s="3" t="s">
        <v>423</v>
      </c>
      <c r="AL9" s="6">
        <v>46372.538275810184</v>
      </c>
      <c r="AM9" s="6">
        <v>46372.546099479165</v>
      </c>
      <c r="AN9" s="3" t="s">
        <v>455</v>
      </c>
      <c r="AO9" s="6">
        <v>46372.538379224534</v>
      </c>
      <c r="AP9" s="7" t="s">
        <v>424</v>
      </c>
      <c r="AQ9" s="3" t="s">
        <v>455</v>
      </c>
    </row>
    <row r="10" spans="1:43" x14ac:dyDescent="0.3">
      <c r="A10" t="s">
        <v>456</v>
      </c>
      <c r="B10" s="3" t="s">
        <v>417</v>
      </c>
      <c r="C10" s="3" t="s">
        <v>457</v>
      </c>
      <c r="D10" s="1">
        <v>46182</v>
      </c>
      <c r="E10">
        <f t="shared" ca="1" si="0"/>
        <v>24</v>
      </c>
      <c r="F10" s="3" t="s">
        <v>458</v>
      </c>
      <c r="G10" s="3" t="s">
        <v>459</v>
      </c>
      <c r="H10" s="3" t="s">
        <v>64</v>
      </c>
      <c r="I10" s="3" t="s">
        <v>65</v>
      </c>
      <c r="J10" s="3" t="s">
        <v>400</v>
      </c>
      <c r="K10" s="3" t="s">
        <v>401</v>
      </c>
      <c r="M10" s="3" t="s">
        <v>73</v>
      </c>
      <c r="O10" s="5">
        <v>2025</v>
      </c>
      <c r="P10" s="3" t="s">
        <v>113</v>
      </c>
      <c r="R10" s="3" t="s">
        <v>403</v>
      </c>
      <c r="T10" s="3" t="s">
        <v>404</v>
      </c>
      <c r="U10" s="3" t="s">
        <v>405</v>
      </c>
      <c r="V10" s="3" t="s">
        <v>406</v>
      </c>
      <c r="W10" s="3" t="s">
        <v>406</v>
      </c>
      <c r="X10" s="3" t="s">
        <v>444</v>
      </c>
      <c r="Z10" s="3" t="s">
        <v>132</v>
      </c>
      <c r="AA10" s="3" t="s">
        <v>64</v>
      </c>
      <c r="AB10" s="3" t="s">
        <v>408</v>
      </c>
      <c r="AC10" s="3" t="s">
        <v>409</v>
      </c>
      <c r="AD10" s="3" t="s">
        <v>405</v>
      </c>
      <c r="AE10" s="3" t="s">
        <v>81</v>
      </c>
      <c r="AF10" s="3" t="s">
        <v>406</v>
      </c>
      <c r="AG10" s="3" t="s">
        <v>410</v>
      </c>
      <c r="AH10" s="3" t="s">
        <v>411</v>
      </c>
      <c r="AI10" s="3" t="s">
        <v>412</v>
      </c>
      <c r="AK10" s="3" t="s">
        <v>413</v>
      </c>
      <c r="AL10" s="6">
        <v>46395.229039756945</v>
      </c>
      <c r="AM10" s="6">
        <v>46395.238715219908</v>
      </c>
      <c r="AN10" s="3" t="s">
        <v>460</v>
      </c>
      <c r="AO10" s="6">
        <v>46395.229154629633</v>
      </c>
      <c r="AP10" s="7" t="s">
        <v>415</v>
      </c>
      <c r="AQ10" s="3" t="s">
        <v>460</v>
      </c>
    </row>
    <row r="11" spans="1:43" x14ac:dyDescent="0.3">
      <c r="A11" t="s">
        <v>461</v>
      </c>
      <c r="B11" s="3" t="s">
        <v>417</v>
      </c>
      <c r="C11" s="3" t="s">
        <v>462</v>
      </c>
      <c r="D11" s="1">
        <v>46183</v>
      </c>
      <c r="E11">
        <f t="shared" ca="1" si="0"/>
        <v>45</v>
      </c>
      <c r="F11" s="3" t="s">
        <v>463</v>
      </c>
      <c r="G11" s="3" t="s">
        <v>464</v>
      </c>
      <c r="H11" s="3" t="s">
        <v>64</v>
      </c>
      <c r="I11" s="3" t="s">
        <v>65</v>
      </c>
      <c r="J11" s="3" t="s">
        <v>400</v>
      </c>
      <c r="K11" s="3" t="s">
        <v>421</v>
      </c>
      <c r="M11" s="3" t="s">
        <v>73</v>
      </c>
      <c r="O11" s="5">
        <v>2025</v>
      </c>
      <c r="P11" s="3" t="s">
        <v>113</v>
      </c>
      <c r="R11" s="3" t="s">
        <v>403</v>
      </c>
      <c r="T11" s="3" t="s">
        <v>404</v>
      </c>
      <c r="U11" s="3" t="s">
        <v>78</v>
      </c>
      <c r="V11" s="3" t="s">
        <v>406</v>
      </c>
      <c r="W11" s="3" t="s">
        <v>406</v>
      </c>
      <c r="X11" s="3" t="s">
        <v>444</v>
      </c>
      <c r="Z11" s="3" t="s">
        <v>70</v>
      </c>
      <c r="AA11" s="3" t="s">
        <v>64</v>
      </c>
      <c r="AB11" s="3" t="s">
        <v>408</v>
      </c>
      <c r="AC11" s="3" t="s">
        <v>409</v>
      </c>
      <c r="AD11" s="3" t="s">
        <v>78</v>
      </c>
      <c r="AE11" s="3" t="s">
        <v>81</v>
      </c>
      <c r="AF11" s="3" t="s">
        <v>406</v>
      </c>
      <c r="AG11" s="3" t="s">
        <v>64</v>
      </c>
      <c r="AH11" s="3" t="s">
        <v>422</v>
      </c>
      <c r="AI11" s="3" t="s">
        <v>412</v>
      </c>
      <c r="AK11" s="3" t="s">
        <v>423</v>
      </c>
      <c r="AL11" s="6">
        <v>46417.919803703706</v>
      </c>
      <c r="AM11" s="6">
        <v>46417.931330960651</v>
      </c>
      <c r="AN11" s="3" t="s">
        <v>465</v>
      </c>
      <c r="AO11" s="6">
        <v>46417.919930034725</v>
      </c>
      <c r="AP11" s="7" t="s">
        <v>424</v>
      </c>
      <c r="AQ11" s="3" t="s">
        <v>465</v>
      </c>
    </row>
    <row r="12" spans="1:43" x14ac:dyDescent="0.3">
      <c r="A12" t="s">
        <v>466</v>
      </c>
      <c r="B12" s="3" t="s">
        <v>417</v>
      </c>
      <c r="C12" s="3" t="s">
        <v>467</v>
      </c>
      <c r="D12" s="1">
        <v>46184</v>
      </c>
      <c r="E12">
        <f t="shared" ca="1" si="0"/>
        <v>42</v>
      </c>
      <c r="F12" s="3" t="s">
        <v>468</v>
      </c>
      <c r="G12" s="3" t="s">
        <v>469</v>
      </c>
      <c r="H12" s="3" t="s">
        <v>64</v>
      </c>
      <c r="I12" s="3" t="s">
        <v>65</v>
      </c>
      <c r="J12" s="3" t="s">
        <v>400</v>
      </c>
      <c r="K12" s="3" t="s">
        <v>401</v>
      </c>
      <c r="M12" s="3" t="s">
        <v>73</v>
      </c>
      <c r="O12" s="5">
        <v>2025</v>
      </c>
      <c r="P12" s="3" t="s">
        <v>125</v>
      </c>
      <c r="R12" s="3" t="s">
        <v>403</v>
      </c>
      <c r="T12" s="3" t="s">
        <v>404</v>
      </c>
      <c r="U12" s="3" t="s">
        <v>405</v>
      </c>
      <c r="V12" s="3" t="s">
        <v>406</v>
      </c>
      <c r="W12" s="3" t="s">
        <v>406</v>
      </c>
      <c r="X12" s="3" t="s">
        <v>470</v>
      </c>
      <c r="Z12" s="3" t="s">
        <v>132</v>
      </c>
      <c r="AA12" s="3" t="s">
        <v>64</v>
      </c>
      <c r="AB12" s="3" t="s">
        <v>408</v>
      </c>
      <c r="AC12" s="3" t="s">
        <v>409</v>
      </c>
      <c r="AD12" s="3" t="s">
        <v>405</v>
      </c>
      <c r="AE12" s="3" t="s">
        <v>81</v>
      </c>
      <c r="AF12" s="3" t="s">
        <v>406</v>
      </c>
      <c r="AG12" s="3" t="s">
        <v>410</v>
      </c>
      <c r="AH12" s="3" t="s">
        <v>411</v>
      </c>
      <c r="AI12" s="3" t="s">
        <v>412</v>
      </c>
      <c r="AK12" s="3" t="s">
        <v>413</v>
      </c>
      <c r="AL12" s="6">
        <v>46440.610567650459</v>
      </c>
      <c r="AM12" s="6">
        <v>46440.623946701387</v>
      </c>
      <c r="AN12" s="3" t="s">
        <v>471</v>
      </c>
      <c r="AO12" s="6">
        <v>46440.610705439816</v>
      </c>
      <c r="AP12" s="7" t="s">
        <v>415</v>
      </c>
      <c r="AQ12" s="3" t="s">
        <v>471</v>
      </c>
    </row>
    <row r="13" spans="1:43" x14ac:dyDescent="0.3">
      <c r="A13" t="s">
        <v>472</v>
      </c>
      <c r="B13" s="3" t="s">
        <v>417</v>
      </c>
      <c r="C13" s="3" t="s">
        <v>473</v>
      </c>
      <c r="D13" s="1">
        <v>46185</v>
      </c>
      <c r="E13">
        <f t="shared" ca="1" si="0"/>
        <v>35</v>
      </c>
      <c r="F13" s="3" t="s">
        <v>474</v>
      </c>
      <c r="G13" s="3" t="s">
        <v>475</v>
      </c>
      <c r="H13" s="3" t="s">
        <v>64</v>
      </c>
      <c r="I13" s="3" t="s">
        <v>65</v>
      </c>
      <c r="J13" s="3" t="s">
        <v>400</v>
      </c>
      <c r="K13" s="3" t="s">
        <v>421</v>
      </c>
      <c r="M13" s="3" t="s">
        <v>73</v>
      </c>
      <c r="O13" s="5">
        <v>2025</v>
      </c>
      <c r="P13" s="3" t="s">
        <v>125</v>
      </c>
      <c r="R13" s="3" t="s">
        <v>403</v>
      </c>
      <c r="T13" s="3" t="s">
        <v>404</v>
      </c>
      <c r="U13" s="3" t="s">
        <v>78</v>
      </c>
      <c r="V13" s="3" t="s">
        <v>406</v>
      </c>
      <c r="W13" s="3" t="s">
        <v>406</v>
      </c>
      <c r="X13" s="3" t="s">
        <v>470</v>
      </c>
      <c r="Z13" s="3" t="s">
        <v>70</v>
      </c>
      <c r="AA13" s="3" t="s">
        <v>64</v>
      </c>
      <c r="AB13" s="3" t="s">
        <v>408</v>
      </c>
      <c r="AC13" s="3" t="s">
        <v>409</v>
      </c>
      <c r="AD13" s="3" t="s">
        <v>78</v>
      </c>
      <c r="AE13" s="3" t="s">
        <v>81</v>
      </c>
      <c r="AF13" s="3" t="s">
        <v>406</v>
      </c>
      <c r="AG13" s="3" t="s">
        <v>64</v>
      </c>
      <c r="AH13" s="3" t="s">
        <v>422</v>
      </c>
      <c r="AI13" s="3" t="s">
        <v>412</v>
      </c>
      <c r="AK13" s="3" t="s">
        <v>423</v>
      </c>
      <c r="AL13" s="6">
        <v>46463.30133159722</v>
      </c>
      <c r="AM13" s="6">
        <v>46463.316562442131</v>
      </c>
      <c r="AN13" s="3" t="s">
        <v>476</v>
      </c>
      <c r="AO13" s="6">
        <v>46463.301480844908</v>
      </c>
      <c r="AP13" s="7" t="s">
        <v>424</v>
      </c>
      <c r="AQ13" s="3" t="s">
        <v>476</v>
      </c>
    </row>
    <row r="14" spans="1:43" x14ac:dyDescent="0.3">
      <c r="A14" t="s">
        <v>477</v>
      </c>
      <c r="B14" s="3" t="s">
        <v>417</v>
      </c>
      <c r="C14" s="3" t="s">
        <v>478</v>
      </c>
      <c r="D14" s="1">
        <v>46186</v>
      </c>
      <c r="E14">
        <f t="shared" ca="1" si="0"/>
        <v>38</v>
      </c>
      <c r="F14" s="3" t="s">
        <v>479</v>
      </c>
      <c r="G14" s="3" t="s">
        <v>480</v>
      </c>
      <c r="H14" s="3" t="s">
        <v>64</v>
      </c>
      <c r="I14" s="3" t="s">
        <v>65</v>
      </c>
      <c r="J14" s="3" t="s">
        <v>400</v>
      </c>
      <c r="K14" s="3" t="s">
        <v>401</v>
      </c>
      <c r="M14" s="3" t="s">
        <v>73</v>
      </c>
      <c r="O14" s="5">
        <v>2025</v>
      </c>
      <c r="P14" s="3" t="s">
        <v>125</v>
      </c>
      <c r="R14" s="3" t="s">
        <v>403</v>
      </c>
      <c r="T14" s="3" t="s">
        <v>404</v>
      </c>
      <c r="U14" s="3" t="s">
        <v>405</v>
      </c>
      <c r="V14" s="3" t="s">
        <v>406</v>
      </c>
      <c r="W14" s="3" t="s">
        <v>406</v>
      </c>
      <c r="X14" s="3" t="s">
        <v>470</v>
      </c>
      <c r="Z14" s="3" t="s">
        <v>132</v>
      </c>
      <c r="AA14" s="3" t="s">
        <v>64</v>
      </c>
      <c r="AB14" s="3" t="s">
        <v>408</v>
      </c>
      <c r="AC14" s="3" t="s">
        <v>409</v>
      </c>
      <c r="AD14" s="3" t="s">
        <v>405</v>
      </c>
      <c r="AE14" s="3" t="s">
        <v>81</v>
      </c>
      <c r="AF14" s="3" t="s">
        <v>406</v>
      </c>
      <c r="AG14" s="3" t="s">
        <v>410</v>
      </c>
      <c r="AH14" s="3" t="s">
        <v>411</v>
      </c>
      <c r="AI14" s="3" t="s">
        <v>412</v>
      </c>
      <c r="AK14" s="3" t="s">
        <v>413</v>
      </c>
      <c r="AL14" s="6">
        <v>46485.992095543981</v>
      </c>
      <c r="AM14" s="6">
        <v>46486.009178182867</v>
      </c>
      <c r="AN14" s="3" t="s">
        <v>481</v>
      </c>
      <c r="AO14" s="6">
        <v>46485.99225625</v>
      </c>
      <c r="AP14" s="7" t="s">
        <v>415</v>
      </c>
      <c r="AQ14" s="3" t="s">
        <v>481</v>
      </c>
    </row>
    <row r="15" spans="1:43" x14ac:dyDescent="0.3">
      <c r="A15" t="s">
        <v>482</v>
      </c>
      <c r="B15" s="3" t="s">
        <v>417</v>
      </c>
      <c r="C15" s="3" t="s">
        <v>483</v>
      </c>
      <c r="D15" s="1">
        <v>46187</v>
      </c>
      <c r="E15">
        <f t="shared" ca="1" si="0"/>
        <v>22</v>
      </c>
      <c r="F15" s="3" t="s">
        <v>484</v>
      </c>
      <c r="G15" s="3" t="s">
        <v>485</v>
      </c>
      <c r="H15" s="3" t="s">
        <v>64</v>
      </c>
      <c r="I15" s="3" t="s">
        <v>65</v>
      </c>
      <c r="J15" s="3" t="s">
        <v>400</v>
      </c>
      <c r="K15" s="3" t="s">
        <v>421</v>
      </c>
      <c r="M15" s="3" t="s">
        <v>73</v>
      </c>
      <c r="O15" s="5">
        <v>2025</v>
      </c>
      <c r="P15" s="3" t="s">
        <v>125</v>
      </c>
      <c r="R15" s="3" t="s">
        <v>403</v>
      </c>
      <c r="T15" s="3" t="s">
        <v>404</v>
      </c>
      <c r="U15" s="3" t="s">
        <v>78</v>
      </c>
      <c r="V15" s="3" t="s">
        <v>406</v>
      </c>
      <c r="W15" s="3" t="s">
        <v>406</v>
      </c>
      <c r="X15" s="3" t="s">
        <v>470</v>
      </c>
      <c r="Z15" s="3" t="s">
        <v>70</v>
      </c>
      <c r="AA15" s="3" t="s">
        <v>64</v>
      </c>
      <c r="AB15" s="3" t="s">
        <v>408</v>
      </c>
      <c r="AC15" s="3" t="s">
        <v>409</v>
      </c>
      <c r="AD15" s="3" t="s">
        <v>78</v>
      </c>
      <c r="AE15" s="3" t="s">
        <v>81</v>
      </c>
      <c r="AF15" s="3" t="s">
        <v>406</v>
      </c>
      <c r="AG15" s="3" t="s">
        <v>64</v>
      </c>
      <c r="AH15" s="3" t="s">
        <v>422</v>
      </c>
      <c r="AI15" s="3" t="s">
        <v>412</v>
      </c>
      <c r="AK15" s="3" t="s">
        <v>423</v>
      </c>
      <c r="AL15" s="6">
        <v>46508.682859490742</v>
      </c>
      <c r="AM15" s="6">
        <v>46508.70179392361</v>
      </c>
      <c r="AN15" s="3" t="s">
        <v>486</v>
      </c>
      <c r="AO15" s="6">
        <v>46508.683031655091</v>
      </c>
      <c r="AP15" s="7" t="s">
        <v>424</v>
      </c>
      <c r="AQ15" s="3" t="s">
        <v>486</v>
      </c>
    </row>
  </sheetData>
  <hyperlinks>
    <hyperlink ref="AP2" r:id="rId1" xr:uid="{7E5883DB-19DC-4F7E-AAA1-3E6EB9ADE289}"/>
    <hyperlink ref="AP3" r:id="rId2" xr:uid="{A69D3315-8A9D-4A41-B7FC-5551B358CCEA}"/>
    <hyperlink ref="AP4" r:id="rId3" xr:uid="{FFFB5FED-76E7-4B0F-9DB9-5925DB6181C6}"/>
    <hyperlink ref="AP6" r:id="rId4" xr:uid="{2923FA9D-1A1A-4097-9C36-9564154DA443}"/>
    <hyperlink ref="AP8" r:id="rId5" xr:uid="{24247AEC-FFCD-42B3-BFB2-1F5CF6CF46FC}"/>
    <hyperlink ref="AP10" r:id="rId6" xr:uid="{DEFAA6E2-DE0D-4173-8B8E-A5C09E0C0F08}"/>
    <hyperlink ref="AP12" r:id="rId7" xr:uid="{9640BDD7-0084-4076-9868-E92231DCF4EA}"/>
    <hyperlink ref="AP14" r:id="rId8" xr:uid="{0DC08E66-CEA9-4AD8-A699-3CA396FD9E38}"/>
    <hyperlink ref="AP5" r:id="rId9" xr:uid="{35B8CF0A-E53C-4473-A4F6-5A5A75D95EB5}"/>
    <hyperlink ref="AP7" r:id="rId10" xr:uid="{AD457BD2-22C0-4747-9FC4-ADE8B80372C7}"/>
    <hyperlink ref="AP9" r:id="rId11" xr:uid="{11831CFC-D681-47F9-B480-69DFC85E375F}"/>
    <hyperlink ref="AP11" r:id="rId12" xr:uid="{B3CE92CA-DDED-4648-A519-BEBC870A6321}"/>
    <hyperlink ref="AP13" r:id="rId13" xr:uid="{FC0E3459-555E-4612-8F2E-91C36FC6C97C}"/>
    <hyperlink ref="AP15" r:id="rId14" xr:uid="{1F083C3B-3476-4DA9-AD84-D47A406FC0C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10896-E8EC-4C65-BE09-74403C875AAB}">
  <dimension ref="A1:AL6"/>
  <sheetViews>
    <sheetView tabSelected="1" workbookViewId="0">
      <selection sqref="A1:AL6"/>
    </sheetView>
  </sheetViews>
  <sheetFormatPr defaultRowHeight="14.4" x14ac:dyDescent="0.3"/>
  <sheetData>
    <row r="1" spans="1:38" ht="199.95" thickBot="1" x14ac:dyDescent="0.35">
      <c r="A1" s="8" t="s">
        <v>487</v>
      </c>
      <c r="B1" s="9" t="s">
        <v>488</v>
      </c>
      <c r="C1" s="9" t="s">
        <v>489</v>
      </c>
      <c r="D1" s="9" t="s">
        <v>490</v>
      </c>
      <c r="E1" s="9" t="s">
        <v>491</v>
      </c>
      <c r="F1" s="9" t="s">
        <v>492</v>
      </c>
      <c r="G1" s="9" t="s">
        <v>493</v>
      </c>
      <c r="H1" s="9" t="s">
        <v>494</v>
      </c>
      <c r="I1" s="9" t="s">
        <v>495</v>
      </c>
      <c r="J1" s="9" t="s">
        <v>496</v>
      </c>
      <c r="K1" s="9" t="s">
        <v>497</v>
      </c>
      <c r="L1" s="9" t="s">
        <v>498</v>
      </c>
      <c r="M1" s="9" t="s">
        <v>499</v>
      </c>
      <c r="N1" s="9" t="s">
        <v>500</v>
      </c>
      <c r="O1" s="9" t="s">
        <v>501</v>
      </c>
      <c r="P1" s="9" t="s">
        <v>502</v>
      </c>
      <c r="Q1" s="9" t="s">
        <v>500</v>
      </c>
      <c r="R1" s="9" t="s">
        <v>503</v>
      </c>
      <c r="S1" s="9" t="s">
        <v>504</v>
      </c>
      <c r="T1" s="9" t="s">
        <v>505</v>
      </c>
      <c r="U1" s="9" t="s">
        <v>506</v>
      </c>
      <c r="V1" s="9" t="s">
        <v>507</v>
      </c>
      <c r="W1" s="9" t="s">
        <v>508</v>
      </c>
      <c r="X1" s="9" t="s">
        <v>509</v>
      </c>
      <c r="Y1" s="9" t="s">
        <v>500</v>
      </c>
      <c r="Z1" s="9" t="s">
        <v>510</v>
      </c>
      <c r="AA1" s="9" t="s">
        <v>511</v>
      </c>
      <c r="AB1" s="9" t="s">
        <v>512</v>
      </c>
      <c r="AC1" s="9" t="s">
        <v>513</v>
      </c>
      <c r="AD1" s="9" t="s">
        <v>514</v>
      </c>
      <c r="AE1" s="9" t="s">
        <v>515</v>
      </c>
      <c r="AF1" s="9" t="s">
        <v>516</v>
      </c>
      <c r="AG1" s="9" t="s">
        <v>517</v>
      </c>
      <c r="AH1" s="9" t="s">
        <v>518</v>
      </c>
      <c r="AI1" s="9" t="s">
        <v>519</v>
      </c>
      <c r="AJ1" s="9" t="s">
        <v>520</v>
      </c>
      <c r="AK1" s="9" t="s">
        <v>500</v>
      </c>
      <c r="AL1" s="10" t="s">
        <v>521</v>
      </c>
    </row>
    <row r="2" spans="1:38" ht="199.95" thickBot="1" x14ac:dyDescent="0.35">
      <c r="A2" s="11">
        <v>46213.999212962961</v>
      </c>
      <c r="B2" s="12" t="s">
        <v>522</v>
      </c>
      <c r="C2" s="13">
        <v>34335</v>
      </c>
      <c r="D2" s="12">
        <v>0</v>
      </c>
      <c r="E2" s="12">
        <v>8034405263</v>
      </c>
      <c r="F2" s="14"/>
      <c r="G2" s="12" t="s">
        <v>523</v>
      </c>
      <c r="H2" s="15">
        <v>30</v>
      </c>
      <c r="I2" s="12" t="s">
        <v>524</v>
      </c>
      <c r="J2" s="12" t="s">
        <v>66</v>
      </c>
      <c r="K2" s="12" t="s">
        <v>525</v>
      </c>
      <c r="L2" s="14"/>
      <c r="M2" s="12" t="s">
        <v>526</v>
      </c>
      <c r="N2" s="14"/>
      <c r="O2" s="15">
        <v>2025</v>
      </c>
      <c r="P2" s="12" t="s">
        <v>527</v>
      </c>
      <c r="Q2" s="14"/>
      <c r="R2" s="12" t="s">
        <v>528</v>
      </c>
      <c r="S2" s="12" t="s">
        <v>523</v>
      </c>
      <c r="T2" s="12" t="s">
        <v>529</v>
      </c>
      <c r="U2" s="12" t="s">
        <v>530</v>
      </c>
      <c r="V2" s="12" t="s">
        <v>531</v>
      </c>
      <c r="W2" s="12" t="s">
        <v>531</v>
      </c>
      <c r="X2" s="12" t="s">
        <v>532</v>
      </c>
      <c r="Y2" s="14"/>
      <c r="Z2" s="12" t="s">
        <v>533</v>
      </c>
      <c r="AA2" s="12" t="s">
        <v>523</v>
      </c>
      <c r="AB2" s="12" t="s">
        <v>534</v>
      </c>
      <c r="AC2" s="12" t="s">
        <v>535</v>
      </c>
      <c r="AD2" s="12" t="s">
        <v>536</v>
      </c>
      <c r="AE2" s="12" t="s">
        <v>529</v>
      </c>
      <c r="AF2" s="12" t="s">
        <v>523</v>
      </c>
      <c r="AG2" s="12" t="s">
        <v>531</v>
      </c>
      <c r="AH2" s="12" t="s">
        <v>537</v>
      </c>
      <c r="AI2" s="14"/>
      <c r="AJ2" s="12" t="s">
        <v>538</v>
      </c>
      <c r="AK2" s="14"/>
      <c r="AL2" s="16" t="s">
        <v>539</v>
      </c>
    </row>
    <row r="3" spans="1:38" ht="106.9" thickBot="1" x14ac:dyDescent="0.35">
      <c r="A3" s="17">
        <v>46214.296111111114</v>
      </c>
      <c r="B3" s="18" t="s">
        <v>540</v>
      </c>
      <c r="C3" s="19">
        <v>46214</v>
      </c>
      <c r="D3" s="18" t="s">
        <v>541</v>
      </c>
      <c r="E3" s="18">
        <v>7083114528</v>
      </c>
      <c r="F3" s="18" t="s">
        <v>523</v>
      </c>
      <c r="G3" s="18" t="s">
        <v>523</v>
      </c>
      <c r="H3" s="20">
        <v>26</v>
      </c>
      <c r="I3" s="18" t="s">
        <v>524</v>
      </c>
      <c r="J3" s="18" t="s">
        <v>66</v>
      </c>
      <c r="K3" s="18" t="s">
        <v>542</v>
      </c>
      <c r="L3" s="18" t="s">
        <v>543</v>
      </c>
      <c r="M3" s="18" t="s">
        <v>526</v>
      </c>
      <c r="N3" s="18" t="s">
        <v>544</v>
      </c>
      <c r="O3" s="20">
        <v>2025</v>
      </c>
      <c r="P3" s="18" t="s">
        <v>545</v>
      </c>
      <c r="Q3" s="18" t="s">
        <v>546</v>
      </c>
      <c r="R3" s="18" t="s">
        <v>547</v>
      </c>
      <c r="S3" s="18" t="s">
        <v>523</v>
      </c>
      <c r="T3" s="18" t="s">
        <v>548</v>
      </c>
      <c r="U3" s="18" t="s">
        <v>536</v>
      </c>
      <c r="V3" s="18" t="s">
        <v>523</v>
      </c>
      <c r="W3" s="18" t="s">
        <v>523</v>
      </c>
      <c r="X3" s="18" t="s">
        <v>549</v>
      </c>
      <c r="Y3" s="21"/>
      <c r="Z3" s="18" t="s">
        <v>550</v>
      </c>
      <c r="AA3" s="18" t="s">
        <v>523</v>
      </c>
      <c r="AB3" s="18" t="s">
        <v>551</v>
      </c>
      <c r="AC3" s="18" t="s">
        <v>552</v>
      </c>
      <c r="AD3" s="18" t="s">
        <v>536</v>
      </c>
      <c r="AE3" s="18" t="s">
        <v>548</v>
      </c>
      <c r="AF3" s="18" t="s">
        <v>523</v>
      </c>
      <c r="AG3" s="18" t="s">
        <v>523</v>
      </c>
      <c r="AH3" s="18" t="s">
        <v>523</v>
      </c>
      <c r="AI3" s="18" t="s">
        <v>553</v>
      </c>
      <c r="AJ3" s="18" t="s">
        <v>554</v>
      </c>
      <c r="AK3" s="18" t="s">
        <v>555</v>
      </c>
      <c r="AL3" s="22" t="s">
        <v>556</v>
      </c>
    </row>
    <row r="4" spans="1:38" ht="93.6" thickBot="1" x14ac:dyDescent="0.35">
      <c r="A4" s="11">
        <v>46214.575775462959</v>
      </c>
      <c r="B4" s="12" t="s">
        <v>557</v>
      </c>
      <c r="C4" s="13">
        <v>46214</v>
      </c>
      <c r="D4" s="12" t="s">
        <v>558</v>
      </c>
      <c r="E4" s="12">
        <v>8169863224</v>
      </c>
      <c r="F4" s="14"/>
      <c r="G4" s="12" t="s">
        <v>523</v>
      </c>
      <c r="H4" s="15">
        <v>21</v>
      </c>
      <c r="I4" s="12" t="s">
        <v>524</v>
      </c>
      <c r="J4" s="12" t="s">
        <v>559</v>
      </c>
      <c r="K4" s="12" t="s">
        <v>560</v>
      </c>
      <c r="L4" s="12" t="s">
        <v>561</v>
      </c>
      <c r="M4" s="12" t="s">
        <v>526</v>
      </c>
      <c r="N4" s="14"/>
      <c r="O4" s="15">
        <v>2023</v>
      </c>
      <c r="P4" s="12" t="s">
        <v>562</v>
      </c>
      <c r="Q4" s="14"/>
      <c r="R4" s="12" t="s">
        <v>528</v>
      </c>
      <c r="S4" s="12" t="s">
        <v>563</v>
      </c>
      <c r="T4" s="12" t="s">
        <v>529</v>
      </c>
      <c r="U4" s="12" t="s">
        <v>564</v>
      </c>
      <c r="V4" s="12" t="s">
        <v>531</v>
      </c>
      <c r="W4" s="12" t="s">
        <v>531</v>
      </c>
      <c r="X4" s="12" t="s">
        <v>565</v>
      </c>
      <c r="Y4" s="14"/>
      <c r="Z4" s="12" t="s">
        <v>550</v>
      </c>
      <c r="AA4" s="12" t="s">
        <v>563</v>
      </c>
      <c r="AB4" s="12" t="s">
        <v>534</v>
      </c>
      <c r="AC4" s="12" t="s">
        <v>566</v>
      </c>
      <c r="AD4" s="12" t="s">
        <v>564</v>
      </c>
      <c r="AE4" s="12" t="s">
        <v>529</v>
      </c>
      <c r="AF4" s="12" t="s">
        <v>563</v>
      </c>
      <c r="AG4" s="12" t="s">
        <v>531</v>
      </c>
      <c r="AH4" s="12" t="s">
        <v>563</v>
      </c>
      <c r="AI4" s="14"/>
      <c r="AJ4" s="12" t="s">
        <v>567</v>
      </c>
      <c r="AK4" s="14"/>
      <c r="AL4" s="23"/>
    </row>
    <row r="5" spans="1:38" ht="93.6" thickBot="1" x14ac:dyDescent="0.35">
      <c r="A5" s="17">
        <v>46215.675763888888</v>
      </c>
      <c r="B5" s="18" t="s">
        <v>568</v>
      </c>
      <c r="C5" s="19">
        <v>30173</v>
      </c>
      <c r="D5" s="18">
        <v>0.54166666666666663</v>
      </c>
      <c r="E5" s="18">
        <v>7068152033</v>
      </c>
      <c r="F5" s="18" t="s">
        <v>569</v>
      </c>
      <c r="G5" s="18" t="s">
        <v>523</v>
      </c>
      <c r="H5" s="20">
        <v>44</v>
      </c>
      <c r="I5" s="18" t="s">
        <v>524</v>
      </c>
      <c r="J5" s="18" t="s">
        <v>66</v>
      </c>
      <c r="K5" s="18" t="s">
        <v>542</v>
      </c>
      <c r="L5" s="18" t="s">
        <v>570</v>
      </c>
      <c r="M5" s="18" t="s">
        <v>526</v>
      </c>
      <c r="N5" s="18" t="s">
        <v>571</v>
      </c>
      <c r="O5" s="20">
        <v>2026</v>
      </c>
      <c r="P5" s="18" t="s">
        <v>527</v>
      </c>
      <c r="Q5" s="18" t="s">
        <v>569</v>
      </c>
      <c r="R5" s="18" t="s">
        <v>572</v>
      </c>
      <c r="S5" s="18" t="s">
        <v>563</v>
      </c>
      <c r="T5" s="18" t="s">
        <v>529</v>
      </c>
      <c r="U5" s="18" t="s">
        <v>536</v>
      </c>
      <c r="V5" s="18" t="s">
        <v>531</v>
      </c>
      <c r="W5" s="18" t="s">
        <v>531</v>
      </c>
      <c r="X5" s="18" t="s">
        <v>573</v>
      </c>
      <c r="Y5" s="18" t="s">
        <v>569</v>
      </c>
      <c r="Z5" s="18" t="s">
        <v>574</v>
      </c>
      <c r="AA5" s="18" t="s">
        <v>563</v>
      </c>
      <c r="AB5" s="18" t="s">
        <v>534</v>
      </c>
      <c r="AC5" s="18" t="s">
        <v>535</v>
      </c>
      <c r="AD5" s="18" t="s">
        <v>536</v>
      </c>
      <c r="AE5" s="18" t="s">
        <v>529</v>
      </c>
      <c r="AF5" s="18" t="s">
        <v>523</v>
      </c>
      <c r="AG5" s="18" t="s">
        <v>531</v>
      </c>
      <c r="AH5" s="18" t="s">
        <v>523</v>
      </c>
      <c r="AI5" s="18" t="s">
        <v>569</v>
      </c>
      <c r="AJ5" s="18" t="s">
        <v>575</v>
      </c>
      <c r="AK5" s="18" t="s">
        <v>576</v>
      </c>
      <c r="AL5" s="22" t="s">
        <v>569</v>
      </c>
    </row>
    <row r="6" spans="1:38" ht="106.9" thickBot="1" x14ac:dyDescent="0.35">
      <c r="A6" s="24">
        <v>46216.444618055553</v>
      </c>
      <c r="B6" s="25" t="s">
        <v>577</v>
      </c>
      <c r="C6" s="26">
        <v>46244</v>
      </c>
      <c r="D6" s="25" t="s">
        <v>558</v>
      </c>
      <c r="E6" s="25">
        <v>8169940739</v>
      </c>
      <c r="F6" s="25" t="s">
        <v>523</v>
      </c>
      <c r="G6" s="25" t="s">
        <v>523</v>
      </c>
      <c r="H6" s="27">
        <v>25</v>
      </c>
      <c r="I6" s="25" t="s">
        <v>524</v>
      </c>
      <c r="J6" s="25" t="s">
        <v>66</v>
      </c>
      <c r="K6" s="25" t="s">
        <v>525</v>
      </c>
      <c r="L6" s="25" t="s">
        <v>578</v>
      </c>
      <c r="M6" s="25" t="s">
        <v>579</v>
      </c>
      <c r="N6" s="25" t="s">
        <v>580</v>
      </c>
      <c r="O6" s="27">
        <v>2026</v>
      </c>
      <c r="P6" s="25" t="s">
        <v>581</v>
      </c>
      <c r="Q6" s="25" t="s">
        <v>582</v>
      </c>
      <c r="R6" s="25" t="s">
        <v>583</v>
      </c>
      <c r="S6" s="25" t="s">
        <v>523</v>
      </c>
      <c r="T6" s="25" t="s">
        <v>548</v>
      </c>
      <c r="U6" s="25" t="s">
        <v>536</v>
      </c>
      <c r="V6" s="25" t="s">
        <v>531</v>
      </c>
      <c r="W6" s="25" t="s">
        <v>531</v>
      </c>
      <c r="X6" s="25" t="s">
        <v>581</v>
      </c>
      <c r="Y6" s="28"/>
      <c r="Z6" s="25" t="s">
        <v>574</v>
      </c>
      <c r="AA6" s="25" t="s">
        <v>563</v>
      </c>
      <c r="AB6" s="25" t="s">
        <v>534</v>
      </c>
      <c r="AC6" s="25" t="s">
        <v>552</v>
      </c>
      <c r="AD6" s="25" t="s">
        <v>530</v>
      </c>
      <c r="AE6" s="25" t="s">
        <v>548</v>
      </c>
      <c r="AF6" s="25" t="s">
        <v>523</v>
      </c>
      <c r="AG6" s="25" t="s">
        <v>523</v>
      </c>
      <c r="AH6" s="25" t="s">
        <v>523</v>
      </c>
      <c r="AI6" s="25" t="s">
        <v>584</v>
      </c>
      <c r="AJ6" s="25" t="s">
        <v>575</v>
      </c>
      <c r="AK6" s="25" t="s">
        <v>585</v>
      </c>
      <c r="AL6" s="29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TVET Programme Impact Assess...</vt:lpstr>
      <vt:lpstr>Commcare</vt:lpstr>
      <vt:lpstr>Google Forms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umar musa isah</cp:lastModifiedBy>
  <dcterms:created xsi:type="dcterms:W3CDTF">2026-07-28T12:15:36Z</dcterms:created>
  <dcterms:modified xsi:type="dcterms:W3CDTF">2026-08-02T09:53:27Z</dcterms:modified>
</cp:coreProperties>
</file>